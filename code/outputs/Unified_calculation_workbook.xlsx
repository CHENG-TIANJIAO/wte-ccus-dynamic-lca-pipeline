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Inputs" sheetId="1" state="visible" r:id="rId1"/>
    <sheet xmlns:r="http://schemas.openxmlformats.org/officeDocument/2006/relationships" name="2_Term_classification" sheetId="2" state="visible" r:id="rId2"/>
    <sheet xmlns:r="http://schemas.openxmlformats.org/officeDocument/2006/relationships" name="3_Eq2_national" sheetId="3" state="visible" r:id="rId3"/>
    <sheet xmlns:r="http://schemas.openxmlformats.org/officeDocument/2006/relationships" name="4_Eq2_vs_Eq6" sheetId="4" state="visible" r:id="rId4"/>
    <sheet xmlns:r="http://schemas.openxmlformats.org/officeDocument/2006/relationships" name="5_Shapley" sheetId="5" state="visible" r:id="rId5"/>
    <sheet xmlns:r="http://schemas.openxmlformats.org/officeDocument/2006/relationships" name="6_Regional_130" sheetId="6" state="visible" r:id="rId6"/>
    <sheet xmlns:r="http://schemas.openxmlformats.org/officeDocument/2006/relationships" name="7_Provenance"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0"/>
    </font>
  </fonts>
  <fills count="3">
    <fill>
      <patternFill/>
    </fill>
    <fill>
      <patternFill patternType="gray125"/>
    </fill>
    <fill>
      <patternFill patternType="solid">
        <fgColor rgb="00DCE6F1"/>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
  <sheetViews>
    <sheetView workbookViewId="0">
      <pane ySplit="1" topLeftCell="A2" activePane="bottomLeft" state="frozen"/>
      <selection pane="bottomLeft" activeCell="A1" sqref="A1"/>
    </sheetView>
  </sheetViews>
  <sheetFormatPr baseColWidth="8" defaultRowHeight="15"/>
  <cols>
    <col width="16" customWidth="1" min="1" max="1"/>
    <col width="44" customWidth="1" min="2" max="2"/>
    <col width="14" customWidth="1" min="3" max="3"/>
    <col width="16" customWidth="1" min="4" max="4"/>
    <col width="18" customWidth="1" min="5" max="5"/>
    <col width="30" customWidth="1" min="6" max="6"/>
    <col width="13" customWidth="1" min="7" max="7"/>
    <col width="13" customWidth="1" min="8" max="8"/>
    <col width="13" customWidth="1" min="9" max="9"/>
    <col width="13" customWidth="1" min="10" max="10"/>
    <col width="13" customWidth="1" min="11" max="11"/>
    <col width="15" customWidth="1" min="12" max="12"/>
  </cols>
  <sheetData>
    <row r="1">
      <c r="A1" s="1" t="inlineStr">
        <is>
          <t>Symbol</t>
        </is>
      </c>
      <c r="B1" s="1" t="inlineStr">
        <is>
          <t>Meaning</t>
        </is>
      </c>
      <c r="C1" s="1" t="inlineStr">
        <is>
          <t>Value</t>
        </is>
      </c>
      <c r="D1" s="1" t="inlineStr">
        <is>
          <t>Unit</t>
        </is>
      </c>
      <c r="E1" s="1" t="inlineStr">
        <is>
          <t>Scaling class</t>
        </is>
      </c>
      <c r="F1" s="1" t="inlineStr">
        <is>
          <t>Source</t>
        </is>
      </c>
    </row>
    <row r="2">
      <c r="A2" t="inlineStr">
        <is>
          <t>cr_nat</t>
        </is>
      </c>
      <c r="B2" t="inlineStr">
        <is>
          <t>National capture rate</t>
        </is>
      </c>
      <c r="C2" t="n">
        <v>0.9</v>
      </c>
      <c r="D2" t="inlineStr">
        <is>
          <t>dimensionless</t>
        </is>
      </c>
      <c r="E2" t="inlineStr">
        <is>
          <t>input</t>
        </is>
      </c>
      <c r="F2" t="inlineStr">
        <is>
          <t>design basis</t>
        </is>
      </c>
    </row>
    <row r="3">
      <c r="A3" t="inlineStr">
        <is>
          <t>F_nat</t>
        </is>
      </c>
      <c r="B3" t="inlineStr">
        <is>
          <t>National fossil combustion CO2</t>
        </is>
      </c>
      <c r="C3" t="n">
        <v>26475.1872</v>
      </c>
      <c r="D3" t="inlineStr">
        <is>
          <t>t-CO2/y</t>
        </is>
      </c>
      <c r="E3" t="inlineStr">
        <is>
          <t>input</t>
        </is>
      </c>
      <c r="F3" t="inlineStr">
        <is>
          <t>harmonised inventory</t>
        </is>
      </c>
    </row>
    <row r="4">
      <c r="A4" t="inlineStr">
        <is>
          <t>T_nat</t>
        </is>
      </c>
      <c r="B4" t="inlineStr">
        <is>
          <t>National total combustion CO2</t>
        </is>
      </c>
      <c r="C4" t="n">
        <v>74621.269184</v>
      </c>
      <c r="D4" t="inlineStr">
        <is>
          <t>t-CO2/y</t>
        </is>
      </c>
      <c r="E4" t="inlineStr">
        <is>
          <t>input</t>
        </is>
      </c>
      <c r="F4" t="inlineStr">
        <is>
          <t>harmonised inventory</t>
        </is>
      </c>
    </row>
    <row r="5">
      <c r="A5" t="inlineStr">
        <is>
          <t>EF_nat</t>
        </is>
      </c>
      <c r="B5" t="inlineStr">
        <is>
          <t>National grid emission factor</t>
        </is>
      </c>
      <c r="C5" t="n">
        <v>0.423</v>
      </c>
      <c r="D5" t="inlineStr">
        <is>
          <t>t-CO2/MWh</t>
        </is>
      </c>
      <c r="E5" t="inlineStr">
        <is>
          <t>input</t>
        </is>
      </c>
      <c r="F5" t="inlineStr">
        <is>
          <t>MoEJ/METI utility-list national average; the source inventories used 0.433 (reference plant, CCU) and 0.438 (mineralization, capture unit); R1b: every electricity line of the nine capture pathways is evaluated at this value from its source MWh, and the explicit terms of S0 and R1-R3 are rebased from 0.433 as before</t>
        </is>
      </c>
    </row>
    <row r="6">
      <c r="A6" t="inlineStr">
        <is>
          <t>E_aux</t>
        </is>
      </c>
      <c r="B6" t="inlineStr">
        <is>
          <t>Plant auxiliary electricity</t>
        </is>
      </c>
      <c r="C6" t="n">
        <v>24360</v>
      </c>
      <c r="D6" t="inlineStr">
        <is>
          <t>MWh/y</t>
        </is>
      </c>
      <c r="E6" t="inlineStr">
        <is>
          <t>FIXED</t>
        </is>
      </c>
      <c r="F6" t="inlineStr">
        <is>
          <t>harmonised inventory</t>
        </is>
      </c>
    </row>
    <row r="7">
      <c r="A7" t="inlineStr">
        <is>
          <t>E_exp_base</t>
        </is>
      </c>
      <c r="B7" t="inlineStr">
        <is>
          <t>Baseline electricity export, no capture</t>
        </is>
      </c>
      <c r="C7" t="n">
        <v>43207</v>
      </c>
      <c r="D7" t="inlineStr">
        <is>
          <t>MWh/y</t>
        </is>
      </c>
      <c r="E7" t="inlineStr">
        <is>
          <t>FIXED</t>
        </is>
      </c>
      <c r="F7" t="inlineStr">
        <is>
          <t>harmonised inventory</t>
        </is>
      </c>
    </row>
    <row r="8">
      <c r="A8" t="inlineStr">
        <is>
          <t>E_exp_cc</t>
        </is>
      </c>
      <c r="B8" t="inlineStr">
        <is>
          <t>Electricity export with capture</t>
        </is>
      </c>
      <c r="C8" t="n">
        <v>30120</v>
      </c>
      <c r="D8" t="inlineStr">
        <is>
          <t>MWh/y</t>
        </is>
      </c>
      <c r="E8" t="inlineStr">
        <is>
          <t>derived</t>
        </is>
      </c>
      <c r="F8" t="inlineStr">
        <is>
          <t>harmonised inventory</t>
        </is>
      </c>
    </row>
    <row r="9">
      <c r="A9" t="inlineStr">
        <is>
          <t>P_steam</t>
        </is>
      </c>
      <c r="B9" t="inlineStr">
        <is>
          <t>Steam-extraction export penalty</t>
        </is>
      </c>
      <c r="C9" t="n">
        <v>13087</v>
      </c>
      <c r="D9" t="inlineStr">
        <is>
          <t>MWh/y</t>
        </is>
      </c>
      <c r="E9" t="inlineStr">
        <is>
          <t>CAP</t>
        </is>
      </c>
      <c r="F9" t="inlineStr">
        <is>
          <t>E_exp_base minus E_exp_cc</t>
        </is>
      </c>
    </row>
    <row r="11">
      <c r="A11" t="inlineStr">
        <is>
          <t>Note</t>
        </is>
      </c>
      <c r="B11" t="inlineStr">
        <is>
          <t>P_steam is the reboiler-duty penalty of the capture unit. It follows the captured CO2, not the waste tonnage, and is therefore in the CAP class. carbon_balance_v2 held it fixed, which was inconsistent with its own scaling rule.</t>
        </is>
      </c>
    </row>
    <row r="12">
      <c r="A12" t="inlineStr">
        <is>
          <t>Scaling factors</t>
        </is>
      </c>
      <c r="B12" t="inlineStr">
        <is>
          <t>s_cap = (cr x T) / (cr_nat x T_nat);  s_F = F / F_nat;  both dimensionless and equal to 1 at national conditions</t>
        </is>
      </c>
    </row>
    <row r="14">
      <c r="A14" t="inlineStr">
        <is>
          <t>Per-pathway parameters. Sheets 3 and 6 compute every group from these cells with Excel formulas; no component value is typed in those sheets.</t>
        </is>
      </c>
    </row>
    <row r="15">
      <c r="A15" t="inlineStr">
        <is>
          <t>ID</t>
        </is>
      </c>
      <c r="B15" t="inlineStr">
        <is>
          <t>class</t>
        </is>
      </c>
      <c r="C15" t="inlineStr">
        <is>
          <t>is capture</t>
        </is>
      </c>
      <c r="D15" t="inlineStr">
        <is>
          <t>E_proc MWh/y</t>
        </is>
      </c>
      <c r="E15" t="inlineStr">
        <is>
          <t>H_p t-CO2/y</t>
        </is>
      </c>
      <c r="F15" t="inlineStr">
        <is>
          <t>QA_p t-CO2/y</t>
        </is>
      </c>
      <c r="G15" t="inlineStr">
        <is>
          <t>QB_p t-CO2/y</t>
        </is>
      </c>
      <c r="H15" t="inlineStr">
        <is>
          <t>V_p t-CO2/y</t>
        </is>
      </c>
      <c r="I15" t="inlineStr">
        <is>
          <t>L_R,p t-CO2/y</t>
        </is>
      </c>
      <c r="J15" t="inlineStr">
        <is>
          <t>D_p t-CO2/y</t>
        </is>
      </c>
      <c r="K15" t="inlineStr">
        <is>
          <t>R_p t-CO2/y (R1 solvent)</t>
        </is>
      </c>
      <c r="L15" t="inlineStr">
        <is>
          <t>Tr_p t-CO2/y (R1 transport)</t>
        </is>
      </c>
      <c r="M15" t="inlineStr">
        <is>
          <t>C_p t-CO2/y</t>
        </is>
      </c>
      <c r="N15" t="inlineStr">
        <is>
          <t>verified national result</t>
        </is>
      </c>
    </row>
    <row r="16">
      <c r="A16" s="2" t="n"/>
      <c r="B16" s="2" t="n"/>
      <c r="C16" s="2" t="n"/>
      <c r="D16" s="2" t="n"/>
      <c r="E16" s="2" t="n"/>
      <c r="F16" s="2" t="n"/>
      <c r="G16" s="2" t="n"/>
      <c r="H16" s="2" t="n"/>
      <c r="I16" s="2" t="n"/>
      <c r="J16" s="2" t="n"/>
      <c r="K16" s="2" t="n"/>
      <c r="L16" s="2" t="n"/>
      <c r="M16" s="2" t="n"/>
      <c r="N16" s="2" t="n"/>
    </row>
    <row r="17">
      <c r="A17" t="inlineStr">
        <is>
          <t>S0</t>
        </is>
      </c>
      <c r="B17" t="inlineStr">
        <is>
          <t>ref</t>
        </is>
      </c>
      <c r="C17" t="n">
        <v>0</v>
      </c>
      <c r="D17" t="n">
        <v>0</v>
      </c>
      <c r="E17" t="n">
        <v>0</v>
      </c>
      <c r="F17" t="n">
        <v>0</v>
      </c>
      <c r="G17" t="n">
        <v>0</v>
      </c>
      <c r="H17" t="n">
        <v>0</v>
      </c>
      <c r="I17" t="n">
        <v>0</v>
      </c>
      <c r="J17" t="n">
        <v>0</v>
      </c>
      <c r="K17" t="n">
        <v>0</v>
      </c>
      <c r="L17" t="n">
        <v>0</v>
      </c>
      <c r="M17" t="n">
        <v>234.272255</v>
      </c>
      <c r="N17" t="n">
        <v>18737.1784549104</v>
      </c>
    </row>
    <row r="18">
      <c r="A18" t="inlineStr">
        <is>
          <t>M1</t>
        </is>
      </c>
      <c r="B18" t="inlineStr">
        <is>
          <t>min</t>
        </is>
      </c>
      <c r="C18" t="n">
        <v>1</v>
      </c>
      <c r="D18" t="n">
        <v>46787.53577836801</v>
      </c>
      <c r="E18" t="n">
        <v>0</v>
      </c>
      <c r="F18" t="n">
        <v>0</v>
      </c>
      <c r="G18" t="n">
        <v>0</v>
      </c>
      <c r="H18" t="n">
        <v>0</v>
      </c>
      <c r="I18" t="n">
        <v>7462.126918400001</v>
      </c>
      <c r="J18" t="n">
        <v>0</v>
      </c>
      <c r="K18" t="n">
        <v>1057.227651280685</v>
      </c>
      <c r="L18" t="n">
        <v>5653.65696231722</v>
      </c>
      <c r="M18" t="n">
        <v>1092.663691</v>
      </c>
      <c r="N18" t="n">
        <v>30453.23337845595</v>
      </c>
    </row>
    <row r="19">
      <c r="A19" t="inlineStr">
        <is>
          <t>M2</t>
        </is>
      </c>
      <c r="B19" t="inlineStr">
        <is>
          <t>min</t>
        </is>
      </c>
      <c r="C19" t="n">
        <v>1</v>
      </c>
      <c r="D19" t="n">
        <v>21341.65058168177</v>
      </c>
      <c r="E19" t="n">
        <v>0</v>
      </c>
      <c r="F19" t="n">
        <v>0</v>
      </c>
      <c r="G19" t="n">
        <v>0</v>
      </c>
      <c r="H19" t="n">
        <v>0</v>
      </c>
      <c r="I19" t="n">
        <v>4029.54</v>
      </c>
      <c r="J19" t="n">
        <v>0</v>
      </c>
      <c r="K19" t="n">
        <v>1057.227651280685</v>
      </c>
      <c r="L19" t="n">
        <v>8037.263771955555</v>
      </c>
      <c r="M19" t="n">
        <v>16413.913266</v>
      </c>
      <c r="N19" t="n">
        <v>36176.61868533361</v>
      </c>
    </row>
    <row r="20">
      <c r="A20" t="inlineStr">
        <is>
          <t>M3</t>
        </is>
      </c>
      <c r="B20" t="inlineStr">
        <is>
          <t>min</t>
        </is>
      </c>
      <c r="C20" t="n">
        <v>1</v>
      </c>
      <c r="D20" t="n">
        <v>17762.32597562355</v>
      </c>
      <c r="E20" t="n">
        <v>0</v>
      </c>
      <c r="F20" t="n">
        <v>0</v>
      </c>
      <c r="G20" t="n">
        <v>0</v>
      </c>
      <c r="H20" t="n">
        <v>0</v>
      </c>
      <c r="I20" t="n">
        <v>7428.919742030769</v>
      </c>
      <c r="J20" t="n">
        <v>0</v>
      </c>
      <c r="K20" t="n">
        <v>1057.227651280685</v>
      </c>
      <c r="L20" t="n">
        <v>336.6923050899692</v>
      </c>
      <c r="M20" t="n">
        <v>28599.84189</v>
      </c>
      <c r="N20" t="n">
        <v>40354.00146318116</v>
      </c>
    </row>
    <row r="21">
      <c r="A21" t="inlineStr">
        <is>
          <t>M4</t>
        </is>
      </c>
      <c r="B21" t="inlineStr">
        <is>
          <t>min</t>
        </is>
      </c>
      <c r="C21" t="n">
        <v>1</v>
      </c>
      <c r="D21" t="n">
        <v>38365.90188819121</v>
      </c>
      <c r="E21" t="n">
        <v>0</v>
      </c>
      <c r="F21" t="n">
        <v>0</v>
      </c>
      <c r="G21" t="n">
        <v>0</v>
      </c>
      <c r="H21" t="n">
        <v>0</v>
      </c>
      <c r="I21" t="n">
        <v>840.3610561914672</v>
      </c>
      <c r="J21" t="n">
        <v>0</v>
      </c>
      <c r="K21" t="n">
        <v>1057.227651280685</v>
      </c>
      <c r="L21" t="n">
        <v>306.171738929356</v>
      </c>
      <c r="M21" t="n">
        <v>63796.646615</v>
      </c>
      <c r="N21" t="n">
        <v>81898.01638196505</v>
      </c>
    </row>
    <row r="22">
      <c r="A22" t="inlineStr">
        <is>
          <t>G1</t>
        </is>
      </c>
      <c r="B22" t="inlineStr">
        <is>
          <t>geo</t>
        </is>
      </c>
      <c r="C22" t="n">
        <v>1</v>
      </c>
      <c r="D22" t="n">
        <v>7380.789734989441</v>
      </c>
      <c r="E22" t="n">
        <v>0</v>
      </c>
      <c r="F22" t="n">
        <v>0</v>
      </c>
      <c r="G22" t="n">
        <v>0</v>
      </c>
      <c r="H22" t="n">
        <v>0</v>
      </c>
      <c r="I22" t="n">
        <v>0</v>
      </c>
      <c r="J22" t="n">
        <v>0</v>
      </c>
      <c r="K22" t="n">
        <v>1057.227651280685</v>
      </c>
      <c r="L22" t="n">
        <v>1567.494380479104</v>
      </c>
      <c r="M22" t="n">
        <v>980.103476</v>
      </c>
      <c r="N22" t="n">
        <v>6937.93828540617</v>
      </c>
    </row>
    <row r="23">
      <c r="A23" t="inlineStr">
        <is>
          <t>G2</t>
        </is>
      </c>
      <c r="B23" t="inlineStr">
        <is>
          <t>geo</t>
        </is>
      </c>
      <c r="C23" t="n">
        <v>1</v>
      </c>
      <c r="D23" t="n">
        <v>7515.10801952064</v>
      </c>
      <c r="E23" t="n">
        <v>0</v>
      </c>
      <c r="F23" t="n">
        <v>0</v>
      </c>
      <c r="G23" t="n">
        <v>0</v>
      </c>
      <c r="H23" t="n">
        <v>0</v>
      </c>
      <c r="I23" t="n">
        <v>0</v>
      </c>
      <c r="J23" t="n">
        <v>0</v>
      </c>
      <c r="K23" t="n">
        <v>1057.227651280685</v>
      </c>
      <c r="L23" t="n">
        <v>1567.494380479104</v>
      </c>
      <c r="M23" t="n">
        <v>980.103476</v>
      </c>
      <c r="N23" t="n">
        <v>6994.754919762867</v>
      </c>
    </row>
    <row r="24">
      <c r="A24" t="inlineStr">
        <is>
          <t>U1</t>
        </is>
      </c>
      <c r="B24" t="inlineStr">
        <is>
          <t>ccu</t>
        </is>
      </c>
      <c r="C24" t="n">
        <v>1</v>
      </c>
      <c r="D24" t="n">
        <v>14761.1163034805</v>
      </c>
      <c r="E24" t="n">
        <v>64320.14005543375</v>
      </c>
      <c r="F24" t="n">
        <v>75264.55598731036</v>
      </c>
      <c r="G24" t="n">
        <v>63527.68942017447</v>
      </c>
      <c r="H24" t="n">
        <v>4400.081734642759</v>
      </c>
      <c r="I24" t="n">
        <v>0</v>
      </c>
      <c r="J24" t="n">
        <v>0</v>
      </c>
      <c r="K24" t="n">
        <v>1057.227651280685</v>
      </c>
      <c r="L24" t="n">
        <v>449.9662531795201</v>
      </c>
      <c r="M24" t="n">
        <v>980.103476</v>
      </c>
      <c r="N24" t="n">
        <v>22098.24585162372</v>
      </c>
    </row>
    <row r="25">
      <c r="A25" t="inlineStr">
        <is>
          <t>U2a</t>
        </is>
      </c>
      <c r="B25" t="inlineStr">
        <is>
          <t>ccu</t>
        </is>
      </c>
      <c r="C25" t="n">
        <v>1</v>
      </c>
      <c r="D25" t="n">
        <v>22498.82532418413</v>
      </c>
      <c r="E25" t="n">
        <v>51523.67834242811</v>
      </c>
      <c r="F25" t="n">
        <v>133921.1348836072</v>
      </c>
      <c r="G25" t="n">
        <v>64012.24286528664</v>
      </c>
      <c r="H25" t="n">
        <v>4701.139958592001</v>
      </c>
      <c r="I25" t="n">
        <v>0</v>
      </c>
      <c r="J25" t="n">
        <v>0</v>
      </c>
      <c r="K25" t="n">
        <v>1057.227651280685</v>
      </c>
      <c r="L25" t="n">
        <v>449.9662531795201</v>
      </c>
      <c r="M25" t="n">
        <v>980.103476</v>
      </c>
      <c r="N25" t="n">
        <v>-45803.01344464501</v>
      </c>
    </row>
    <row r="26">
      <c r="A26" t="inlineStr">
        <is>
          <t>U2b</t>
        </is>
      </c>
      <c r="B26" t="inlineStr">
        <is>
          <t>ccu</t>
        </is>
      </c>
      <c r="C26" t="n">
        <v>1</v>
      </c>
      <c r="D26" t="n">
        <v>22498.82532418413</v>
      </c>
      <c r="E26" t="n">
        <v>51523.67834242811</v>
      </c>
      <c r="F26" t="n">
        <v>82711.34059137794</v>
      </c>
      <c r="G26" t="n">
        <v>12802.44857305733</v>
      </c>
      <c r="H26" t="n">
        <v>4701.139958592001</v>
      </c>
      <c r="I26" t="n">
        <v>0</v>
      </c>
      <c r="J26" t="n">
        <v>0</v>
      </c>
      <c r="K26" t="n">
        <v>1057.227651280685</v>
      </c>
      <c r="L26" t="n">
        <v>449.9662531795201</v>
      </c>
      <c r="M26" t="n">
        <v>980.103476</v>
      </c>
      <c r="N26" t="n">
        <v>-12762.15282489425</v>
      </c>
    </row>
    <row r="27">
      <c r="A27" t="inlineStr">
        <is>
          <t>R1</t>
        </is>
      </c>
      <c r="B27" t="inlineStr">
        <is>
          <t>cr</t>
        </is>
      </c>
      <c r="C27" t="n">
        <v>0</v>
      </c>
      <c r="D27" t="n">
        <v>357</v>
      </c>
      <c r="E27" t="n">
        <v>0</v>
      </c>
      <c r="F27" t="n">
        <v>0</v>
      </c>
      <c r="G27" t="n">
        <v>0</v>
      </c>
      <c r="H27" t="n">
        <v>0</v>
      </c>
      <c r="I27" t="n">
        <v>0</v>
      </c>
      <c r="J27" t="n">
        <v>17678</v>
      </c>
      <c r="K27" t="n">
        <v>0</v>
      </c>
      <c r="L27" t="n">
        <v>0</v>
      </c>
      <c r="M27" t="n">
        <v>-8639.0172</v>
      </c>
      <c r="N27" t="n">
        <v>-7663.099999999999</v>
      </c>
    </row>
    <row r="28">
      <c r="A28" t="inlineStr">
        <is>
          <t>R2</t>
        </is>
      </c>
      <c r="B28" t="inlineStr">
        <is>
          <t>cr</t>
        </is>
      </c>
      <c r="C28" t="n">
        <v>0</v>
      </c>
      <c r="D28" t="n">
        <v>357</v>
      </c>
      <c r="E28" t="n">
        <v>0</v>
      </c>
      <c r="F28" t="n">
        <v>0</v>
      </c>
      <c r="G28" t="n">
        <v>0</v>
      </c>
      <c r="H28" t="n">
        <v>0</v>
      </c>
      <c r="I28" t="n">
        <v>0</v>
      </c>
      <c r="J28" t="n">
        <v>17678</v>
      </c>
      <c r="K28" t="n">
        <v>0</v>
      </c>
      <c r="L28" t="n">
        <v>0</v>
      </c>
      <c r="M28" t="n">
        <v>-8639.0172</v>
      </c>
      <c r="N28" t="n">
        <v>-7663.099999999999</v>
      </c>
    </row>
    <row r="29">
      <c r="A29" t="inlineStr">
        <is>
          <t>R3</t>
        </is>
      </c>
      <c r="B29" t="inlineStr">
        <is>
          <t>cr</t>
        </is>
      </c>
      <c r="C29" t="n">
        <v>0</v>
      </c>
      <c r="D29" t="n">
        <v>780.2033898305085</v>
      </c>
      <c r="E29" t="n">
        <v>0</v>
      </c>
      <c r="F29" t="n">
        <v>0</v>
      </c>
      <c r="G29" t="n">
        <v>0</v>
      </c>
      <c r="H29" t="n">
        <v>0</v>
      </c>
      <c r="I29" t="n">
        <v>0</v>
      </c>
      <c r="J29" t="n">
        <v>17650</v>
      </c>
      <c r="K29" t="n">
        <v>0</v>
      </c>
      <c r="L29" t="n">
        <v>0</v>
      </c>
      <c r="M29" t="n">
        <v>-8651.264268000001</v>
      </c>
      <c r="N29" t="n">
        <v>-7468.332033898305</v>
      </c>
    </row>
    <row r="31">
      <c r="A31" t="inlineStr">
        <is>
          <t>Note</t>
        </is>
      </c>
      <c r="B31" t="inlineStr">
        <is>
          <t>QA_p is the cradle-to-grave burden of the displaced fossil product; QB_p is the combustion CO2 of the synthesised product, charged at the fossil share f = F / T of the captured stream.  The net substitution credit is (QA_p - f x QB_p) x s_cap.  V_p is the process vent (mixed basis), charged at f.  L_R,p is the mineralization reactor loss only; the capture slip (1 - cr) F is charged once, explicitly.  R1: R_p is the capture solvent burden (12 kg CO2-eq per t ww x 84,000 t, Bisinella et al. 2021, Table 4) plus the activated-carbon and NaOH capture-unit increments (0.1 kg per t-CO2 each, Fig. 2; 40.30 and 8.93 t/y), and Tr_p the transport term (CO2 to storage 20 kg per t-CO2 for G; ore rail/ship on the t-km basis for M1/M2; slag truck 5 km for M3/M4; CO2 truck 0.134 kg per t-km x 50 km for U), both class CAP.  E_proc is the capture, compression and conversion electricity from source kWh (R1b, D7); for U1/U2a/U2b it includes the 15 kWh per t-CO2 capture line (D10a).  R1c: every capture pathway carries the common 90 kWh/t capture + conditioning module; U adds tanker liquefaction 16 kWh/t; G (ship scenario) adds liquefaction 17.4 and unloading 2.5 kWh/t (G2, high-pressure well: pumping to injection pressure 4.5 kWh/t in place of 2.5 + 7, R1d) and Tr_p = ship fuel 22 kg per t-CO2 + 10 km road to port (E_PROC_ITEMS_R1C / TRANSPORT_ITEMS_R1C in model_parameters.json).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39"/>
  <sheetViews>
    <sheetView workbookViewId="0">
      <pane ySplit="1" topLeftCell="A2" activePane="bottomLeft" state="frozen"/>
      <selection pane="bottomLeft" activeCell="A1" sqref="A1"/>
    </sheetView>
  </sheetViews>
  <sheetFormatPr baseColWidth="8" defaultRowHeight="15"/>
  <cols>
    <col width="9" customWidth="1" min="1" max="1"/>
    <col width="36" customWidth="1" min="2" max="2"/>
    <col width="13" customWidth="1" min="3" max="3"/>
    <col width="14" customWidth="1" min="4" max="4"/>
    <col width="12" customWidth="1" min="5" max="5"/>
    <col width="15" customWidth="1" min="6" max="6"/>
    <col width="11" customWidth="1" min="7" max="7"/>
    <col width="11" customWidth="1" min="8" max="8"/>
    <col width="34" customWidth="1" min="9" max="9"/>
    <col width="21" customWidth="1" min="10" max="10"/>
    <col width="25" customWidth="1" min="11" max="11"/>
    <col width="20" customWidth="1" min="12" max="12"/>
    <col width="8" customWidth="1" min="13" max="13"/>
    <col width="26" customWidth="1" min="14" max="14"/>
  </cols>
  <sheetData>
    <row r="1">
      <c r="A1" s="1" t="inlineStr">
        <is>
          <t>Pathway</t>
        </is>
      </c>
      <c r="B1" s="1" t="inlineStr">
        <is>
          <t>Inventory item</t>
        </is>
      </c>
      <c r="C1" s="1" t="inlineStr">
        <is>
          <t>Symbol</t>
        </is>
      </c>
      <c r="D1" s="1" t="inlineStr">
        <is>
          <t>Baseline value</t>
        </is>
      </c>
      <c r="E1" s="1" t="inlineStr">
        <is>
          <t>Baseline unit</t>
        </is>
      </c>
      <c r="F1" s="1" t="inlineStr">
        <is>
          <t>Conversion factor</t>
        </is>
      </c>
      <c r="G1" s="1" t="inlineStr">
        <is>
          <t>Final unit</t>
        </is>
      </c>
      <c r="H1" s="1" t="inlineStr">
        <is>
          <t>Class</t>
        </is>
      </c>
      <c r="I1" s="1" t="inlineStr">
        <is>
          <t>Scaling formula</t>
        </is>
      </c>
      <c r="J1" s="1" t="inlineStr">
        <is>
          <t>Random or deterministic</t>
        </is>
      </c>
      <c r="K1" s="1" t="inlineStr">
        <is>
          <t>Shared or pathway-specific</t>
        </is>
      </c>
      <c r="L1" s="1" t="inlineStr">
        <is>
          <t>Treatment A/B dependence</t>
        </is>
      </c>
      <c r="M1" s="1" t="inlineStr">
        <is>
          <t>Sign</t>
        </is>
      </c>
      <c r="N1" s="1" t="inlineStr">
        <is>
          <t>Source</t>
        </is>
      </c>
    </row>
    <row r="2">
      <c r="A2" t="inlineStr">
        <is>
          <t>S0</t>
        </is>
      </c>
      <c r="B2" t="inlineStr">
        <is>
          <t>Plant auxiliary electricity</t>
        </is>
      </c>
      <c r="C2" t="inlineStr">
        <is>
          <t>E_aux</t>
        </is>
      </c>
      <c r="D2" t="n">
        <v>24360</v>
      </c>
      <c r="E2" t="inlineStr">
        <is>
          <t>MWh/y</t>
        </is>
      </c>
      <c r="F2" t="inlineStr">
        <is>
          <t>EF</t>
        </is>
      </c>
      <c r="G2" t="inlineStr">
        <is>
          <t>t-CO2/y</t>
        </is>
      </c>
      <c r="H2" t="inlineStr">
        <is>
          <t>FIXED</t>
        </is>
      </c>
      <c r="I2" t="inlineStr">
        <is>
          <t>E_aux x EF</t>
        </is>
      </c>
      <c r="J2" t="inlineStr">
        <is>
          <t>random through EF</t>
        </is>
      </c>
      <c r="K2" t="inlineStr">
        <is>
          <t>EF shared by all pathways</t>
        </is>
      </c>
      <c r="L2" t="inlineStr">
        <is>
          <t>none</t>
        </is>
      </c>
      <c r="M2" t="inlineStr">
        <is>
          <t>+</t>
        </is>
      </c>
      <c r="N2" t="inlineStr">
        <is>
          <t>harmonised inventory</t>
        </is>
      </c>
    </row>
    <row r="3">
      <c r="A3" t="inlineStr">
        <is>
          <t>S0</t>
        </is>
      </c>
      <c r="B3" t="inlineStr">
        <is>
          <t>Baseline electricity export</t>
        </is>
      </c>
      <c r="C3" t="inlineStr">
        <is>
          <t>E_exp_base</t>
        </is>
      </c>
      <c r="D3" t="n">
        <v>-43207</v>
      </c>
      <c r="E3" t="inlineStr">
        <is>
          <t>MWh/y</t>
        </is>
      </c>
      <c r="F3" t="inlineStr">
        <is>
          <t>EF</t>
        </is>
      </c>
      <c r="G3" t="inlineStr">
        <is>
          <t>t-CO2/y</t>
        </is>
      </c>
      <c r="H3" t="inlineStr">
        <is>
          <t>FIXED</t>
        </is>
      </c>
      <c r="I3" t="inlineStr">
        <is>
          <t>minus E_exp_base x EF</t>
        </is>
      </c>
      <c r="J3" t="inlineStr">
        <is>
          <t>random through EF</t>
        </is>
      </c>
      <c r="K3" t="inlineStr">
        <is>
          <t>EF shared by all pathways</t>
        </is>
      </c>
      <c r="L3" t="inlineStr">
        <is>
          <t>none</t>
        </is>
      </c>
      <c r="M3" t="inlineStr">
        <is>
          <t>-</t>
        </is>
      </c>
      <c r="N3" t="inlineStr">
        <is>
          <t>harmonised inventory</t>
        </is>
      </c>
    </row>
    <row r="4">
      <c r="A4" t="inlineStr">
        <is>
          <t>S0</t>
        </is>
      </c>
      <c r="B4" t="inlineStr">
        <is>
          <t>Steam generation burden</t>
        </is>
      </c>
      <c r="C4" t="inlineStr">
        <is>
          <t>n/a</t>
        </is>
      </c>
      <c r="D4" t="inlineStr">
        <is>
          <t>not separate</t>
        </is>
      </c>
      <c r="E4" t="inlineStr">
        <is>
          <t>MWh/y</t>
        </is>
      </c>
      <c r="F4" t="inlineStr">
        <is>
          <t>n/a</t>
        </is>
      </c>
      <c r="G4" t="inlineStr">
        <is>
          <t>t-CO2/y</t>
        </is>
      </c>
      <c r="H4" t="inlineStr">
        <is>
          <t>FIXED</t>
        </is>
      </c>
      <c r="I4" t="inlineStr">
        <is>
          <t>inside E_exp_base; same waste tonnage in every region</t>
        </is>
      </c>
      <c r="J4" t="inlineStr">
        <is>
          <t>deterministic</t>
        </is>
      </c>
      <c r="K4" t="inlineStr">
        <is>
          <t>shared by all pathways</t>
        </is>
      </c>
      <c r="L4" t="inlineStr">
        <is>
          <t>none</t>
        </is>
      </c>
      <c r="M4" t="inlineStr">
        <is>
          <t>n/a</t>
        </is>
      </c>
      <c r="N4" t="inlineStr">
        <is>
          <t>harmonised inventory</t>
        </is>
      </c>
    </row>
    <row r="5">
      <c r="A5" t="inlineStr">
        <is>
          <t>S0</t>
        </is>
      </c>
      <c r="B5" t="inlineStr">
        <is>
          <t>Steam-extraction export penalty</t>
        </is>
      </c>
      <c r="C5" t="inlineStr">
        <is>
          <t>N/A</t>
        </is>
      </c>
      <c r="D5" t="inlineStr">
        <is>
          <t>N/A</t>
        </is>
      </c>
      <c r="E5" t="inlineStr">
        <is>
          <t>N/A</t>
        </is>
      </c>
      <c r="F5" t="inlineStr">
        <is>
          <t>N/A</t>
        </is>
      </c>
      <c r="G5" t="inlineStr">
        <is>
          <t>N/A</t>
        </is>
      </c>
      <c r="H5" t="inlineStr">
        <is>
          <t>N/A</t>
        </is>
      </c>
      <c r="I5" t="inlineStr">
        <is>
          <t>N/A</t>
        </is>
      </c>
      <c r="J5" t="inlineStr">
        <is>
          <t>N/A</t>
        </is>
      </c>
      <c r="K5" t="inlineStr">
        <is>
          <t>N/A</t>
        </is>
      </c>
      <c r="L5" t="inlineStr">
        <is>
          <t>N/A</t>
        </is>
      </c>
      <c r="M5" t="inlineStr">
        <is>
          <t>N/A</t>
        </is>
      </c>
      <c r="N5" t="inlineStr">
        <is>
          <t>N/A</t>
        </is>
      </c>
    </row>
    <row r="6">
      <c r="A6" t="inlineStr">
        <is>
          <t>S0</t>
        </is>
      </c>
      <c r="B6" t="inlineStr">
        <is>
          <t>Capture electricity</t>
        </is>
      </c>
      <c r="C6" t="inlineStr">
        <is>
          <t>N/A</t>
        </is>
      </c>
      <c r="D6" t="inlineStr">
        <is>
          <t>N/A</t>
        </is>
      </c>
      <c r="E6" t="inlineStr">
        <is>
          <t>N/A</t>
        </is>
      </c>
      <c r="F6" t="inlineStr">
        <is>
          <t>N/A</t>
        </is>
      </c>
      <c r="G6" t="inlineStr">
        <is>
          <t>N/A</t>
        </is>
      </c>
      <c r="H6" t="inlineStr">
        <is>
          <t>N/A</t>
        </is>
      </c>
      <c r="I6" t="inlineStr">
        <is>
          <t>N/A</t>
        </is>
      </c>
      <c r="J6" t="inlineStr">
        <is>
          <t>N/A</t>
        </is>
      </c>
      <c r="K6" t="inlineStr">
        <is>
          <t>N/A</t>
        </is>
      </c>
      <c r="L6" t="inlineStr">
        <is>
          <t>N/A</t>
        </is>
      </c>
      <c r="M6" t="inlineStr">
        <is>
          <t>N/A</t>
        </is>
      </c>
      <c r="N6" t="inlineStr">
        <is>
          <t>N/A</t>
        </is>
      </c>
    </row>
    <row r="7">
      <c r="A7" t="inlineStr">
        <is>
          <t>S0</t>
        </is>
      </c>
      <c r="B7" t="inlineStr">
        <is>
          <t>CO2 compression electricity</t>
        </is>
      </c>
      <c r="C7" t="inlineStr">
        <is>
          <t>N/A</t>
        </is>
      </c>
      <c r="D7" t="inlineStr">
        <is>
          <t>N/A</t>
        </is>
      </c>
      <c r="E7" t="inlineStr">
        <is>
          <t>N/A</t>
        </is>
      </c>
      <c r="F7" t="inlineStr">
        <is>
          <t>N/A</t>
        </is>
      </c>
      <c r="G7" t="inlineStr">
        <is>
          <t>N/A</t>
        </is>
      </c>
      <c r="H7" t="inlineStr">
        <is>
          <t>N/A</t>
        </is>
      </c>
      <c r="I7" t="inlineStr">
        <is>
          <t>N/A</t>
        </is>
      </c>
      <c r="J7" t="inlineStr">
        <is>
          <t>N/A</t>
        </is>
      </c>
      <c r="K7" t="inlineStr">
        <is>
          <t>N/A</t>
        </is>
      </c>
      <c r="L7" t="inlineStr">
        <is>
          <t>N/A</t>
        </is>
      </c>
      <c r="M7" t="inlineStr">
        <is>
          <t>N/A</t>
        </is>
      </c>
      <c r="N7" t="inlineStr">
        <is>
          <t>N/A</t>
        </is>
      </c>
    </row>
    <row r="8">
      <c r="A8" t="inlineStr">
        <is>
          <t>S0</t>
        </is>
      </c>
      <c r="B8" t="inlineStr">
        <is>
          <t>Conversion electricity</t>
        </is>
      </c>
      <c r="C8" t="inlineStr">
        <is>
          <t>N/A</t>
        </is>
      </c>
      <c r="D8" t="inlineStr">
        <is>
          <t>N/A</t>
        </is>
      </c>
      <c r="E8" t="inlineStr">
        <is>
          <t>N/A</t>
        </is>
      </c>
      <c r="F8" t="inlineStr">
        <is>
          <t>N/A</t>
        </is>
      </c>
      <c r="G8" t="inlineStr">
        <is>
          <t>N/A</t>
        </is>
      </c>
      <c r="H8" t="inlineStr">
        <is>
          <t>N/A</t>
        </is>
      </c>
      <c r="I8" t="inlineStr">
        <is>
          <t>N/A</t>
        </is>
      </c>
      <c r="J8" t="inlineStr">
        <is>
          <t>N/A</t>
        </is>
      </c>
      <c r="K8" t="inlineStr">
        <is>
          <t>N/A</t>
        </is>
      </c>
      <c r="L8" t="inlineStr">
        <is>
          <t>N/A</t>
        </is>
      </c>
      <c r="M8" t="inlineStr">
        <is>
          <t>N/A</t>
        </is>
      </c>
      <c r="N8" t="inlineStr">
        <is>
          <t>N/A</t>
        </is>
      </c>
    </row>
    <row r="9">
      <c r="A9" t="inlineStr">
        <is>
          <t>S0</t>
        </is>
      </c>
      <c r="B9" t="inlineStr">
        <is>
          <t>Total capture, compression and conversion electricity</t>
        </is>
      </c>
      <c r="C9" t="inlineStr">
        <is>
          <t>N/A</t>
        </is>
      </c>
      <c r="D9" t="inlineStr">
        <is>
          <t>N/A</t>
        </is>
      </c>
      <c r="E9" t="inlineStr">
        <is>
          <t>N/A</t>
        </is>
      </c>
      <c r="F9" t="inlineStr">
        <is>
          <t>N/A</t>
        </is>
      </c>
      <c r="G9" t="inlineStr">
        <is>
          <t>N/A</t>
        </is>
      </c>
      <c r="H9" t="inlineStr">
        <is>
          <t>N/A</t>
        </is>
      </c>
      <c r="I9" t="inlineStr">
        <is>
          <t>N/A</t>
        </is>
      </c>
      <c r="J9" t="inlineStr">
        <is>
          <t>N/A</t>
        </is>
      </c>
      <c r="K9" t="inlineStr">
        <is>
          <t>N/A</t>
        </is>
      </c>
      <c r="L9" t="inlineStr">
        <is>
          <t>N/A</t>
        </is>
      </c>
      <c r="M9" t="inlineStr">
        <is>
          <t>N/A</t>
        </is>
      </c>
      <c r="N9" t="inlineStr">
        <is>
          <t>N/A</t>
        </is>
      </c>
    </row>
    <row r="10">
      <c r="A10" t="inlineStr">
        <is>
          <t>S0</t>
        </is>
      </c>
      <c r="B10" t="inlineStr">
        <is>
          <t>Pyrolysis electricity</t>
        </is>
      </c>
      <c r="C10" t="inlineStr">
        <is>
          <t>N/A</t>
        </is>
      </c>
      <c r="D10" t="inlineStr">
        <is>
          <t>N/A</t>
        </is>
      </c>
      <c r="E10" t="inlineStr">
        <is>
          <t>N/A</t>
        </is>
      </c>
      <c r="F10" t="inlineStr">
        <is>
          <t>N/A</t>
        </is>
      </c>
      <c r="G10" t="inlineStr">
        <is>
          <t>N/A</t>
        </is>
      </c>
      <c r="H10" t="inlineStr">
        <is>
          <t>N/A</t>
        </is>
      </c>
      <c r="I10" t="inlineStr">
        <is>
          <t>N/A</t>
        </is>
      </c>
      <c r="J10" t="inlineStr">
        <is>
          <t>N/A</t>
        </is>
      </c>
      <c r="K10" t="inlineStr">
        <is>
          <t>N/A</t>
        </is>
      </c>
      <c r="L10" t="inlineStr">
        <is>
          <t>N/A</t>
        </is>
      </c>
      <c r="M10" t="inlineStr">
        <is>
          <t>N/A</t>
        </is>
      </c>
      <c r="N10" t="inlineStr">
        <is>
          <t>N/A</t>
        </is>
      </c>
    </row>
    <row r="11">
      <c r="A11" t="inlineStr">
        <is>
          <t>S0</t>
        </is>
      </c>
      <c r="B11" t="inlineStr">
        <is>
          <t>Hydrogen demand</t>
        </is>
      </c>
      <c r="C11" t="inlineStr">
        <is>
          <t>N/A</t>
        </is>
      </c>
      <c r="D11" t="inlineStr">
        <is>
          <t>N/A</t>
        </is>
      </c>
      <c r="E11" t="inlineStr">
        <is>
          <t>N/A</t>
        </is>
      </c>
      <c r="F11" t="inlineStr">
        <is>
          <t>N/A</t>
        </is>
      </c>
      <c r="G11" t="inlineStr">
        <is>
          <t>N/A</t>
        </is>
      </c>
      <c r="H11" t="inlineStr">
        <is>
          <t>N/A</t>
        </is>
      </c>
      <c r="I11" t="inlineStr">
        <is>
          <t>N/A</t>
        </is>
      </c>
      <c r="J11" t="inlineStr">
        <is>
          <t>N/A</t>
        </is>
      </c>
      <c r="K11" t="inlineStr">
        <is>
          <t>N/A</t>
        </is>
      </c>
      <c r="L11" t="inlineStr">
        <is>
          <t>N/A</t>
        </is>
      </c>
      <c r="M11" t="inlineStr">
        <is>
          <t>N/A</t>
        </is>
      </c>
      <c r="N11" t="inlineStr">
        <is>
          <t>N/A</t>
        </is>
      </c>
    </row>
    <row r="12">
      <c r="A12" t="inlineStr">
        <is>
          <t>S0</t>
        </is>
      </c>
      <c r="B12" t="inlineStr">
        <is>
          <t>Direct fossil-carbon emission</t>
        </is>
      </c>
      <c r="C12" t="inlineStr">
        <is>
          <t>F</t>
        </is>
      </c>
      <c r="D12" t="n">
        <v>26475.1872</v>
      </c>
      <c r="E12" t="inlineStr">
        <is>
          <t>t-CO2/y</t>
        </is>
      </c>
      <c r="F12" t="inlineStr">
        <is>
          <t>already CO2</t>
        </is>
      </c>
      <c r="G12" t="inlineStr">
        <is>
          <t>t-CO2/y</t>
        </is>
      </c>
      <c r="H12" t="inlineStr">
        <is>
          <t>CARBON</t>
        </is>
      </c>
      <c r="I12" t="inlineStr">
        <is>
          <t>enters phi; see the carbon-flow rows below</t>
        </is>
      </c>
      <c r="J12" t="inlineStr">
        <is>
          <t>random</t>
        </is>
      </c>
      <c r="K12" t="inlineStr">
        <is>
          <t>F shared by all pathways</t>
        </is>
      </c>
      <c r="L12" t="inlineStr">
        <is>
          <t>none</t>
        </is>
      </c>
      <c r="M12" t="inlineStr">
        <is>
          <t>+</t>
        </is>
      </c>
      <c r="N12" t="inlineStr">
        <is>
          <t>national waste survey</t>
        </is>
      </c>
    </row>
    <row r="13">
      <c r="A13" t="inlineStr">
        <is>
          <t>S0</t>
        </is>
      </c>
      <c r="B13" t="inlineStr">
        <is>
          <t>Uncaptured fossil fraction</t>
        </is>
      </c>
      <c r="C13" t="inlineStr">
        <is>
          <t>N/A</t>
        </is>
      </c>
      <c r="D13" t="inlineStr">
        <is>
          <t>N/A</t>
        </is>
      </c>
      <c r="E13" t="inlineStr">
        <is>
          <t>N/A</t>
        </is>
      </c>
      <c r="F13" t="inlineStr">
        <is>
          <t>N/A</t>
        </is>
      </c>
      <c r="G13" t="inlineStr">
        <is>
          <t>N/A</t>
        </is>
      </c>
      <c r="H13" t="inlineStr">
        <is>
          <t>N/A</t>
        </is>
      </c>
      <c r="I13" t="inlineStr">
        <is>
          <t>N/A</t>
        </is>
      </c>
      <c r="J13" t="inlineStr">
        <is>
          <t>N/A</t>
        </is>
      </c>
      <c r="K13" t="inlineStr">
        <is>
          <t>N/A</t>
        </is>
      </c>
      <c r="L13" t="inlineStr">
        <is>
          <t>N/A</t>
        </is>
      </c>
      <c r="M13" t="inlineStr">
        <is>
          <t>N/A</t>
        </is>
      </c>
      <c r="N13" t="inlineStr">
        <is>
          <t>N/A</t>
        </is>
      </c>
    </row>
    <row r="14">
      <c r="A14" t="inlineStr">
        <is>
          <t>S0</t>
        </is>
      </c>
      <c r="B14" t="inlineStr">
        <is>
          <t>Mineralization reactor loss</t>
        </is>
      </c>
      <c r="C14" t="inlineStr">
        <is>
          <t>N/A</t>
        </is>
      </c>
      <c r="D14" t="inlineStr">
        <is>
          <t>N/A</t>
        </is>
      </c>
      <c r="E14" t="inlineStr">
        <is>
          <t>N/A</t>
        </is>
      </c>
      <c r="F14" t="inlineStr">
        <is>
          <t>N/A</t>
        </is>
      </c>
      <c r="G14" t="inlineStr">
        <is>
          <t>N/A</t>
        </is>
      </c>
      <c r="H14" t="inlineStr">
        <is>
          <t>N/A</t>
        </is>
      </c>
      <c r="I14" t="inlineStr">
        <is>
          <t>N/A</t>
        </is>
      </c>
      <c r="J14" t="inlineStr">
        <is>
          <t>N/A</t>
        </is>
      </c>
      <c r="K14" t="inlineStr">
        <is>
          <t>N/A</t>
        </is>
      </c>
      <c r="L14" t="inlineStr">
        <is>
          <t>N/A</t>
        </is>
      </c>
      <c r="M14" t="inlineStr">
        <is>
          <t>N/A</t>
        </is>
      </c>
      <c r="N14" t="inlineStr">
        <is>
          <t>N/A</t>
        </is>
      </c>
    </row>
    <row r="15">
      <c r="A15" t="inlineStr">
        <is>
          <t>S0</t>
        </is>
      </c>
      <c r="B15" t="inlineStr">
        <is>
          <t>CCU process vent</t>
        </is>
      </c>
      <c r="C15" t="inlineStr">
        <is>
          <t>N/A</t>
        </is>
      </c>
      <c r="D15" t="inlineStr">
        <is>
          <t>N/A</t>
        </is>
      </c>
      <c r="E15" t="inlineStr">
        <is>
          <t>N/A</t>
        </is>
      </c>
      <c r="F15" t="inlineStr">
        <is>
          <t>N/A</t>
        </is>
      </c>
      <c r="G15" t="inlineStr">
        <is>
          <t>N/A</t>
        </is>
      </c>
      <c r="H15" t="inlineStr">
        <is>
          <t>N/A</t>
        </is>
      </c>
      <c r="I15" t="inlineStr">
        <is>
          <t>N/A</t>
        </is>
      </c>
      <c r="J15" t="inlineStr">
        <is>
          <t>N/A</t>
        </is>
      </c>
      <c r="K15" t="inlineStr">
        <is>
          <t>N/A</t>
        </is>
      </c>
      <c r="L15" t="inlineStr">
        <is>
          <t>N/A</t>
        </is>
      </c>
      <c r="M15" t="inlineStr">
        <is>
          <t>N/A</t>
        </is>
      </c>
      <c r="N15" t="inlineStr">
        <is>
          <t>N/A</t>
        </is>
      </c>
    </row>
    <row r="16">
      <c r="A16" t="inlineStr">
        <is>
          <t>S0</t>
        </is>
      </c>
      <c r="B16" t="inlineStr">
        <is>
          <t>Product output</t>
        </is>
      </c>
      <c r="C16" t="inlineStr">
        <is>
          <t>N/A</t>
        </is>
      </c>
      <c r="D16" t="inlineStr">
        <is>
          <t>N/A</t>
        </is>
      </c>
      <c r="E16" t="inlineStr">
        <is>
          <t>N/A</t>
        </is>
      </c>
      <c r="F16" t="inlineStr">
        <is>
          <t>N/A</t>
        </is>
      </c>
      <c r="G16" t="inlineStr">
        <is>
          <t>N/A</t>
        </is>
      </c>
      <c r="H16" t="inlineStr">
        <is>
          <t>N/A</t>
        </is>
      </c>
      <c r="I16" t="inlineStr">
        <is>
          <t>N/A</t>
        </is>
      </c>
      <c r="J16" t="inlineStr">
        <is>
          <t>N/A</t>
        </is>
      </c>
      <c r="K16" t="inlineStr">
        <is>
          <t>N/A</t>
        </is>
      </c>
      <c r="L16" t="inlineStr">
        <is>
          <t>N/A</t>
        </is>
      </c>
      <c r="M16" t="inlineStr">
        <is>
          <t>N/A</t>
        </is>
      </c>
      <c r="N16" t="inlineStr">
        <is>
          <t>N/A</t>
        </is>
      </c>
    </row>
    <row r="17">
      <c r="A17" t="inlineStr">
        <is>
          <t>S0</t>
        </is>
      </c>
      <c r="B17" t="inlineStr">
        <is>
          <t>Displaced-product burden (cradle-to-grave)</t>
        </is>
      </c>
      <c r="C17" t="inlineStr">
        <is>
          <t>N/A</t>
        </is>
      </c>
      <c r="D17" t="inlineStr">
        <is>
          <t>N/A</t>
        </is>
      </c>
      <c r="E17" t="inlineStr">
        <is>
          <t>N/A</t>
        </is>
      </c>
      <c r="F17" t="inlineStr">
        <is>
          <t>N/A</t>
        </is>
      </c>
      <c r="G17" t="inlineStr">
        <is>
          <t>N/A</t>
        </is>
      </c>
      <c r="H17" t="inlineStr">
        <is>
          <t>N/A</t>
        </is>
      </c>
      <c r="I17" t="inlineStr">
        <is>
          <t>N/A</t>
        </is>
      </c>
      <c r="J17" t="inlineStr">
        <is>
          <t>N/A</t>
        </is>
      </c>
      <c r="K17" t="inlineStr">
        <is>
          <t>N/A</t>
        </is>
      </c>
      <c r="L17" t="inlineStr">
        <is>
          <t>N/A</t>
        </is>
      </c>
      <c r="M17" t="inlineStr">
        <is>
          <t>N/A</t>
        </is>
      </c>
      <c r="N17" t="inlineStr">
        <is>
          <t>N/A</t>
        </is>
      </c>
    </row>
    <row r="18">
      <c r="A18" t="inlineStr">
        <is>
          <t>S0</t>
        </is>
      </c>
      <c r="B18" t="inlineStr">
        <is>
          <t>Product fossil-combustion charge</t>
        </is>
      </c>
      <c r="C18" t="inlineStr">
        <is>
          <t>N/A</t>
        </is>
      </c>
      <c r="D18" t="inlineStr">
        <is>
          <t>N/A</t>
        </is>
      </c>
      <c r="E18" t="inlineStr">
        <is>
          <t>N/A</t>
        </is>
      </c>
      <c r="F18" t="inlineStr">
        <is>
          <t>N/A</t>
        </is>
      </c>
      <c r="G18" t="inlineStr">
        <is>
          <t>N/A</t>
        </is>
      </c>
      <c r="H18" t="inlineStr">
        <is>
          <t>N/A</t>
        </is>
      </c>
      <c r="I18" t="inlineStr">
        <is>
          <t>N/A</t>
        </is>
      </c>
      <c r="J18" t="inlineStr">
        <is>
          <t>N/A</t>
        </is>
      </c>
      <c r="K18" t="inlineStr">
        <is>
          <t>N/A</t>
        </is>
      </c>
      <c r="L18" t="inlineStr">
        <is>
          <t>N/A</t>
        </is>
      </c>
      <c r="M18" t="inlineStr">
        <is>
          <t>N/A</t>
        </is>
      </c>
      <c r="N18" t="inlineStr">
        <is>
          <t>N/A</t>
        </is>
      </c>
    </row>
    <row r="19">
      <c r="A19" t="inlineStr">
        <is>
          <t>S0</t>
        </is>
      </c>
      <c r="B19" t="inlineStr">
        <is>
          <t>Diverted plastic carbon</t>
        </is>
      </c>
      <c r="C19" t="inlineStr">
        <is>
          <t>N/A</t>
        </is>
      </c>
      <c r="D19" t="inlineStr">
        <is>
          <t>N/A</t>
        </is>
      </c>
      <c r="E19" t="inlineStr">
        <is>
          <t>N/A</t>
        </is>
      </c>
      <c r="F19" t="inlineStr">
        <is>
          <t>N/A</t>
        </is>
      </c>
      <c r="G19" t="inlineStr">
        <is>
          <t>N/A</t>
        </is>
      </c>
      <c r="H19" t="inlineStr">
        <is>
          <t>N/A</t>
        </is>
      </c>
      <c r="I19" t="inlineStr">
        <is>
          <t>N/A</t>
        </is>
      </c>
      <c r="J19" t="inlineStr">
        <is>
          <t>N/A</t>
        </is>
      </c>
      <c r="K19" t="inlineStr">
        <is>
          <t>N/A</t>
        </is>
      </c>
      <c r="L19" t="inlineStr">
        <is>
          <t>N/A</t>
        </is>
      </c>
      <c r="M19" t="inlineStr">
        <is>
          <t>N/A</t>
        </is>
      </c>
      <c r="N19" t="inlineStr">
        <is>
          <t>N/A</t>
        </is>
      </c>
    </row>
    <row r="20">
      <c r="A20" t="inlineStr">
        <is>
          <t>S0</t>
        </is>
      </c>
      <c r="B20" t="inlineStr">
        <is>
          <t>Permanent geological storage</t>
        </is>
      </c>
      <c r="C20" t="inlineStr">
        <is>
          <t>N/A</t>
        </is>
      </c>
      <c r="D20" t="inlineStr">
        <is>
          <t>N/A</t>
        </is>
      </c>
      <c r="E20" t="inlineStr">
        <is>
          <t>N/A</t>
        </is>
      </c>
      <c r="F20" t="inlineStr">
        <is>
          <t>N/A</t>
        </is>
      </c>
      <c r="G20" t="inlineStr">
        <is>
          <t>N/A</t>
        </is>
      </c>
      <c r="H20" t="inlineStr">
        <is>
          <t>N/A</t>
        </is>
      </c>
      <c r="I20" t="inlineStr">
        <is>
          <t>N/A</t>
        </is>
      </c>
      <c r="J20" t="inlineStr">
        <is>
          <t>N/A</t>
        </is>
      </c>
      <c r="K20" t="inlineStr">
        <is>
          <t>N/A</t>
        </is>
      </c>
      <c r="L20" t="inlineStr">
        <is>
          <t>N/A</t>
        </is>
      </c>
      <c r="M20" t="inlineStr">
        <is>
          <t>N/A</t>
        </is>
      </c>
      <c r="N20" t="inlineStr">
        <is>
          <t>N/A</t>
        </is>
      </c>
    </row>
    <row r="21">
      <c r="A21" t="inlineStr">
        <is>
          <t>S0</t>
        </is>
      </c>
      <c r="B21" t="inlineStr">
        <is>
          <t>Temporary product storage</t>
        </is>
      </c>
      <c r="C21" t="inlineStr">
        <is>
          <t>N/A</t>
        </is>
      </c>
      <c r="D21" t="inlineStr">
        <is>
          <t>N/A</t>
        </is>
      </c>
      <c r="E21" t="inlineStr">
        <is>
          <t>N/A</t>
        </is>
      </c>
      <c r="F21" t="inlineStr">
        <is>
          <t>N/A</t>
        </is>
      </c>
      <c r="G21" t="inlineStr">
        <is>
          <t>N/A</t>
        </is>
      </c>
      <c r="H21" t="inlineStr">
        <is>
          <t>N/A</t>
        </is>
      </c>
      <c r="I21" t="inlineStr">
        <is>
          <t>N/A</t>
        </is>
      </c>
      <c r="J21" t="inlineStr">
        <is>
          <t>N/A</t>
        </is>
      </c>
      <c r="K21" t="inlineStr">
        <is>
          <t>N/A</t>
        </is>
      </c>
      <c r="L21" t="inlineStr">
        <is>
          <t>N/A</t>
        </is>
      </c>
      <c r="M21" t="inlineStr">
        <is>
          <t>N/A</t>
        </is>
      </c>
      <c r="N21" t="inlineStr">
        <is>
          <t>N/A</t>
        </is>
      </c>
    </row>
    <row r="22">
      <c r="A22" t="inlineStr">
        <is>
          <t>S0</t>
        </is>
      </c>
      <c r="B22" t="inlineStr">
        <is>
          <t>Final atmospheric release</t>
        </is>
      </c>
      <c r="C22" t="inlineStr">
        <is>
          <t>N/A</t>
        </is>
      </c>
      <c r="D22" t="inlineStr">
        <is>
          <t>N/A</t>
        </is>
      </c>
      <c r="E22" t="inlineStr">
        <is>
          <t>N/A</t>
        </is>
      </c>
      <c r="F22" t="inlineStr">
        <is>
          <t>N/A</t>
        </is>
      </c>
      <c r="G22" t="inlineStr">
        <is>
          <t>N/A</t>
        </is>
      </c>
      <c r="H22" t="inlineStr">
        <is>
          <t>N/A</t>
        </is>
      </c>
      <c r="I22" t="inlineStr">
        <is>
          <t>N/A</t>
        </is>
      </c>
      <c r="J22" t="inlineStr">
        <is>
          <t>N/A</t>
        </is>
      </c>
      <c r="K22" t="inlineStr">
        <is>
          <t>N/A</t>
        </is>
      </c>
      <c r="L22" t="inlineStr">
        <is>
          <t>N/A</t>
        </is>
      </c>
      <c r="M22" t="inlineStr">
        <is>
          <t>N/A</t>
        </is>
      </c>
      <c r="N22" t="inlineStr">
        <is>
          <t>N/A</t>
        </is>
      </c>
    </row>
    <row r="23">
      <c r="A23" t="inlineStr">
        <is>
          <t>S0</t>
        </is>
      </c>
      <c r="B23" t="inlineStr">
        <is>
          <t>Capture solvent burden (R1 explicit)</t>
        </is>
      </c>
      <c r="C23" t="inlineStr">
        <is>
          <t>N/A</t>
        </is>
      </c>
      <c r="D23" t="inlineStr">
        <is>
          <t>N/A</t>
        </is>
      </c>
      <c r="E23" t="inlineStr">
        <is>
          <t>N/A</t>
        </is>
      </c>
      <c r="F23" t="inlineStr">
        <is>
          <t>N/A</t>
        </is>
      </c>
      <c r="G23" t="inlineStr">
        <is>
          <t>N/A</t>
        </is>
      </c>
      <c r="H23" t="inlineStr">
        <is>
          <t>N/A</t>
        </is>
      </c>
      <c r="I23" t="inlineStr">
        <is>
          <t>N/A</t>
        </is>
      </c>
      <c r="J23" t="inlineStr">
        <is>
          <t>N/A</t>
        </is>
      </c>
      <c r="K23" t="inlineStr">
        <is>
          <t>N/A</t>
        </is>
      </c>
      <c r="L23" t="inlineStr">
        <is>
          <t>N/A</t>
        </is>
      </c>
      <c r="M23" t="inlineStr">
        <is>
          <t>N/A</t>
        </is>
      </c>
      <c r="N23" t="inlineStr">
        <is>
          <t>N/A</t>
        </is>
      </c>
    </row>
    <row r="24">
      <c r="A24" t="inlineStr">
        <is>
          <t>S0</t>
        </is>
      </c>
      <c r="B24" t="inlineStr">
        <is>
          <t>Transport (R1 explicit: CO2 to storage / ore / slag / CO2 to synthesis)</t>
        </is>
      </c>
      <c r="C24" t="inlineStr">
        <is>
          <t>N/A</t>
        </is>
      </c>
      <c r="D24" t="inlineStr">
        <is>
          <t>N/A</t>
        </is>
      </c>
      <c r="E24" t="inlineStr">
        <is>
          <t>N/A</t>
        </is>
      </c>
      <c r="F24" t="inlineStr">
        <is>
          <t>N/A</t>
        </is>
      </c>
      <c r="G24" t="inlineStr">
        <is>
          <t>N/A</t>
        </is>
      </c>
      <c r="H24" t="inlineStr">
        <is>
          <t>N/A</t>
        </is>
      </c>
      <c r="I24" t="inlineStr">
        <is>
          <t>N/A</t>
        </is>
      </c>
      <c r="J24" t="inlineStr">
        <is>
          <t>N/A</t>
        </is>
      </c>
      <c r="K24" t="inlineStr">
        <is>
          <t>N/A</t>
        </is>
      </c>
      <c r="L24" t="inlineStr">
        <is>
          <t>N/A</t>
        </is>
      </c>
      <c r="M24" t="inlineStr">
        <is>
          <t>N/A</t>
        </is>
      </c>
      <c r="N24" t="inlineStr">
        <is>
          <t>N/A</t>
        </is>
      </c>
    </row>
    <row r="25">
      <c r="A25" t="inlineStr">
        <is>
          <t>S0</t>
        </is>
      </c>
      <c r="B25" t="inlineStr">
        <is>
          <t>Product transport</t>
        </is>
      </c>
      <c r="C25" t="inlineStr">
        <is>
          <t>N/A</t>
        </is>
      </c>
      <c r="D25" t="inlineStr">
        <is>
          <t>N/A</t>
        </is>
      </c>
      <c r="E25" t="inlineStr">
        <is>
          <t>N/A</t>
        </is>
      </c>
      <c r="F25" t="inlineStr">
        <is>
          <t>N/A</t>
        </is>
      </c>
      <c r="G25" t="inlineStr">
        <is>
          <t>N/A</t>
        </is>
      </c>
      <c r="H25" t="inlineStr">
        <is>
          <t>N/A</t>
        </is>
      </c>
      <c r="I25" t="inlineStr">
        <is>
          <t>N/A</t>
        </is>
      </c>
      <c r="J25" t="inlineStr">
        <is>
          <t>N/A</t>
        </is>
      </c>
      <c r="K25" t="inlineStr">
        <is>
          <t>N/A</t>
        </is>
      </c>
      <c r="L25" t="inlineStr">
        <is>
          <t>N/A</t>
        </is>
      </c>
      <c r="M25" t="inlineStr">
        <is>
          <t>N/A</t>
        </is>
      </c>
      <c r="N25" t="inlineStr">
        <is>
          <t>N/A</t>
        </is>
      </c>
    </row>
    <row r="26">
      <c r="A26" t="inlineStr">
        <is>
          <t>S0</t>
        </is>
      </c>
      <c r="B26" t="inlineStr">
        <is>
          <t>Capital-related burdens</t>
        </is>
      </c>
      <c r="C26" t="inlineStr">
        <is>
          <t>C_cap</t>
        </is>
      </c>
      <c r="D26" t="inlineStr">
        <is>
          <t>inside residual</t>
        </is>
      </c>
      <c r="E26" t="inlineStr">
        <is>
          <t>t-CO2/y</t>
        </is>
      </c>
      <c r="F26" t="inlineStr">
        <is>
          <t>annualised</t>
        </is>
      </c>
      <c r="G26" t="inlineStr">
        <is>
          <t>t-CO2/y</t>
        </is>
      </c>
      <c r="H26" t="inlineStr">
        <is>
          <t>RESIDUAL</t>
        </is>
      </c>
      <c r="I26" t="inlineStr">
        <is>
          <t>annualised, held at its national value, x m_rem</t>
        </is>
      </c>
      <c r="J26" t="inlineStr">
        <is>
          <t>random through m_rem</t>
        </is>
      </c>
      <c r="K26" t="inlineStr">
        <is>
          <t>pathway-specific</t>
        </is>
      </c>
      <c r="L26" t="inlineStr">
        <is>
          <t>none</t>
        </is>
      </c>
      <c r="M26" t="inlineStr">
        <is>
          <t>+</t>
        </is>
      </c>
      <c r="N26" t="inlineStr">
        <is>
          <t>calibrated remainder</t>
        </is>
      </c>
    </row>
    <row r="27">
      <c r="A27" t="inlineStr">
        <is>
          <t>S0</t>
        </is>
      </c>
      <c r="B27" t="inlineStr">
        <is>
          <t>Calibrated residual, total</t>
        </is>
      </c>
      <c r="C27" t="inlineStr">
        <is>
          <t>C_p</t>
        </is>
      </c>
      <c r="D27" t="n">
        <v>234.27</v>
      </c>
      <c r="E27" t="inlineStr">
        <is>
          <t>t-CO2/y</t>
        </is>
      </c>
      <c r="F27" t="inlineStr">
        <is>
          <t>already CO2</t>
        </is>
      </c>
      <c r="G27" t="inlineStr">
        <is>
          <t>t-CO2/y</t>
        </is>
      </c>
      <c r="H27" t="inlineStr">
        <is>
          <t>RESIDUAL</t>
        </is>
      </c>
      <c r="I27" t="inlineStr">
        <is>
          <t>C_p x m_rem</t>
        </is>
      </c>
      <c r="J27" t="inlineStr">
        <is>
          <t>random through m_rem</t>
        </is>
      </c>
      <c r="K27" t="inlineStr">
        <is>
          <t>pathway-specific</t>
        </is>
      </c>
      <c r="L27" t="inlineStr">
        <is>
          <t>shifts with the anchor under B</t>
        </is>
      </c>
      <c r="M27" t="inlineStr">
        <is>
          <t>+/-</t>
        </is>
      </c>
      <c r="N27" t="inlineStr">
        <is>
          <t>verified national value minus the explicit groups</t>
        </is>
      </c>
    </row>
    <row r="28">
      <c r="A28" t="inlineStr">
        <is>
          <t>M1</t>
        </is>
      </c>
      <c r="B28" t="inlineStr">
        <is>
          <t>Plant auxiliary electricity</t>
        </is>
      </c>
      <c r="C28" t="inlineStr">
        <is>
          <t>E_aux</t>
        </is>
      </c>
      <c r="D28" t="n">
        <v>24360</v>
      </c>
      <c r="E28" t="inlineStr">
        <is>
          <t>MWh/y</t>
        </is>
      </c>
      <c r="F28" t="inlineStr">
        <is>
          <t>EF</t>
        </is>
      </c>
      <c r="G28" t="inlineStr">
        <is>
          <t>t-CO2/y</t>
        </is>
      </c>
      <c r="H28" t="inlineStr">
        <is>
          <t>FIXED</t>
        </is>
      </c>
      <c r="I28" t="inlineStr">
        <is>
          <t>E_aux x EF</t>
        </is>
      </c>
      <c r="J28" t="inlineStr">
        <is>
          <t>random through EF</t>
        </is>
      </c>
      <c r="K28" t="inlineStr">
        <is>
          <t>EF shared by all pathways</t>
        </is>
      </c>
      <c r="L28" t="inlineStr">
        <is>
          <t>none</t>
        </is>
      </c>
      <c r="M28" t="inlineStr">
        <is>
          <t>+</t>
        </is>
      </c>
      <c r="N28" t="inlineStr">
        <is>
          <t>harmonised inventory</t>
        </is>
      </c>
    </row>
    <row r="29">
      <c r="A29" t="inlineStr">
        <is>
          <t>M1</t>
        </is>
      </c>
      <c r="B29" t="inlineStr">
        <is>
          <t>Baseline electricity export</t>
        </is>
      </c>
      <c r="C29" t="inlineStr">
        <is>
          <t>E_exp_base</t>
        </is>
      </c>
      <c r="D29" t="n">
        <v>-43207</v>
      </c>
      <c r="E29" t="inlineStr">
        <is>
          <t>MWh/y</t>
        </is>
      </c>
      <c r="F29" t="inlineStr">
        <is>
          <t>EF</t>
        </is>
      </c>
      <c r="G29" t="inlineStr">
        <is>
          <t>t-CO2/y</t>
        </is>
      </c>
      <c r="H29" t="inlineStr">
        <is>
          <t>FIXED</t>
        </is>
      </c>
      <c r="I29" t="inlineStr">
        <is>
          <t>minus E_exp_base x EF</t>
        </is>
      </c>
      <c r="J29" t="inlineStr">
        <is>
          <t>random through EF</t>
        </is>
      </c>
      <c r="K29" t="inlineStr">
        <is>
          <t>EF shared by all pathways</t>
        </is>
      </c>
      <c r="L29" t="inlineStr">
        <is>
          <t>none</t>
        </is>
      </c>
      <c r="M29" t="inlineStr">
        <is>
          <t>-</t>
        </is>
      </c>
      <c r="N29" t="inlineStr">
        <is>
          <t>harmonised inventory</t>
        </is>
      </c>
    </row>
    <row r="30">
      <c r="A30" t="inlineStr">
        <is>
          <t>M1</t>
        </is>
      </c>
      <c r="B30" t="inlineStr">
        <is>
          <t>Steam generation burden</t>
        </is>
      </c>
      <c r="C30" t="inlineStr">
        <is>
          <t>n/a</t>
        </is>
      </c>
      <c r="D30" t="inlineStr">
        <is>
          <t>not separate</t>
        </is>
      </c>
      <c r="E30" t="inlineStr">
        <is>
          <t>MWh/y</t>
        </is>
      </c>
      <c r="F30" t="inlineStr">
        <is>
          <t>n/a</t>
        </is>
      </c>
      <c r="G30" t="inlineStr">
        <is>
          <t>t-CO2/y</t>
        </is>
      </c>
      <c r="H30" t="inlineStr">
        <is>
          <t>FIXED</t>
        </is>
      </c>
      <c r="I30" t="inlineStr">
        <is>
          <t>inside E_exp_base; same waste tonnage in every region</t>
        </is>
      </c>
      <c r="J30" t="inlineStr">
        <is>
          <t>deterministic</t>
        </is>
      </c>
      <c r="K30" t="inlineStr">
        <is>
          <t>shared by all pathways</t>
        </is>
      </c>
      <c r="L30" t="inlineStr">
        <is>
          <t>none</t>
        </is>
      </c>
      <c r="M30" t="inlineStr">
        <is>
          <t>n/a</t>
        </is>
      </c>
      <c r="N30" t="inlineStr">
        <is>
          <t>harmonised inventory</t>
        </is>
      </c>
    </row>
    <row r="31">
      <c r="A31" t="inlineStr">
        <is>
          <t>M1</t>
        </is>
      </c>
      <c r="B31" t="inlineStr">
        <is>
          <t>Steam-extraction export penalty</t>
        </is>
      </c>
      <c r="C31" t="inlineStr">
        <is>
          <t>P_steam</t>
        </is>
      </c>
      <c r="D31" t="n">
        <v>13087</v>
      </c>
      <c r="E31" t="inlineStr">
        <is>
          <t>MWh/y</t>
        </is>
      </c>
      <c r="F31" t="inlineStr">
        <is>
          <t>EF</t>
        </is>
      </c>
      <c r="G31" t="inlineStr">
        <is>
          <t>t-CO2/y</t>
        </is>
      </c>
      <c r="H31" t="inlineStr">
        <is>
          <t>CAP</t>
        </is>
      </c>
      <c r="I31" t="inlineStr">
        <is>
          <t>P_steam x s_cap x EF</t>
        </is>
      </c>
      <c r="J31" t="inlineStr">
        <is>
          <t>random through EF and cr</t>
        </is>
      </c>
      <c r="K31" t="inlineStr">
        <is>
          <t>EF and cr shared</t>
        </is>
      </c>
      <c r="L31" t="inlineStr">
        <is>
          <t>none</t>
        </is>
      </c>
      <c r="M31" t="inlineStr">
        <is>
          <t>+</t>
        </is>
      </c>
      <c r="N31" t="inlineStr">
        <is>
          <t>E_exp_base minus E_exp_cc</t>
        </is>
      </c>
    </row>
    <row r="32">
      <c r="A32" t="inlineStr">
        <is>
          <t>M1</t>
        </is>
      </c>
      <c r="B32" t="inlineStr">
        <is>
          <t>Capture electricity</t>
        </is>
      </c>
      <c r="C32" t="inlineStr">
        <is>
          <t>E_proc part</t>
        </is>
      </c>
      <c r="D32" t="inlineStr">
        <is>
          <t>inside E_proc</t>
        </is>
      </c>
      <c r="E32" t="inlineStr">
        <is>
          <t>MWh/y</t>
        </is>
      </c>
      <c r="F32" t="inlineStr">
        <is>
          <t>EF</t>
        </is>
      </c>
      <c r="G32" t="inlineStr">
        <is>
          <t>t-CO2/y</t>
        </is>
      </c>
      <c r="H32" t="inlineStr">
        <is>
          <t>CAP</t>
        </is>
      </c>
      <c r="I32" t="inlineStr">
        <is>
          <t>E_proc x s_cap x EF x m_el</t>
        </is>
      </c>
      <c r="J32" t="inlineStr">
        <is>
          <t>random</t>
        </is>
      </c>
      <c r="K32" t="inlineStr">
        <is>
          <t>m_el shared within family</t>
        </is>
      </c>
      <c r="L32" t="inlineStr">
        <is>
          <t>none</t>
        </is>
      </c>
      <c r="M32" t="inlineStr">
        <is>
          <t>+</t>
        </is>
      </c>
      <c r="N32" t="inlineStr">
        <is>
          <t>harmonised inventory</t>
        </is>
      </c>
    </row>
    <row r="33">
      <c r="A33" t="inlineStr">
        <is>
          <t>M1</t>
        </is>
      </c>
      <c r="B33" t="inlineStr">
        <is>
          <t>CO2 compression electricity</t>
        </is>
      </c>
      <c r="C33" t="inlineStr">
        <is>
          <t>E_proc part</t>
        </is>
      </c>
      <c r="D33" t="inlineStr">
        <is>
          <t>inside E_proc</t>
        </is>
      </c>
      <c r="E33" t="inlineStr">
        <is>
          <t>MWh/y</t>
        </is>
      </c>
      <c r="F33" t="inlineStr">
        <is>
          <t>EF</t>
        </is>
      </c>
      <c r="G33" t="inlineStr">
        <is>
          <t>t-CO2/y</t>
        </is>
      </c>
      <c r="H33" t="inlineStr">
        <is>
          <t>CAP</t>
        </is>
      </c>
      <c r="I33" t="inlineStr">
        <is>
          <t>E_proc x s_cap x EF x m_el</t>
        </is>
      </c>
      <c r="J33" t="inlineStr">
        <is>
          <t>random</t>
        </is>
      </c>
      <c r="K33" t="inlineStr">
        <is>
          <t>m_el shared within family</t>
        </is>
      </c>
      <c r="L33" t="inlineStr">
        <is>
          <t>none</t>
        </is>
      </c>
      <c r="M33" t="inlineStr">
        <is>
          <t>+</t>
        </is>
      </c>
      <c r="N33" t="inlineStr">
        <is>
          <t>harmonised inventory</t>
        </is>
      </c>
    </row>
    <row r="34">
      <c r="A34" t="inlineStr">
        <is>
          <t>M1</t>
        </is>
      </c>
      <c r="B34" t="inlineStr">
        <is>
          <t>Conversion electricity</t>
        </is>
      </c>
      <c r="C34" t="inlineStr">
        <is>
          <t>E_proc part</t>
        </is>
      </c>
      <c r="D34" t="inlineStr">
        <is>
          <t>inside E_proc</t>
        </is>
      </c>
      <c r="E34" t="inlineStr">
        <is>
          <t>MWh/y</t>
        </is>
      </c>
      <c r="F34" t="inlineStr">
        <is>
          <t>EF</t>
        </is>
      </c>
      <c r="G34" t="inlineStr">
        <is>
          <t>t-CO2/y</t>
        </is>
      </c>
      <c r="H34" t="inlineStr">
        <is>
          <t>CAP</t>
        </is>
      </c>
      <c r="I34" t="inlineStr">
        <is>
          <t>E_proc x s_cap x EF x m_el</t>
        </is>
      </c>
      <c r="J34" t="inlineStr">
        <is>
          <t>random</t>
        </is>
      </c>
      <c r="K34" t="inlineStr">
        <is>
          <t>m_el shared within family</t>
        </is>
      </c>
      <c r="L34" t="inlineStr">
        <is>
          <t>none</t>
        </is>
      </c>
      <c r="M34" t="inlineStr">
        <is>
          <t>+</t>
        </is>
      </c>
      <c r="N34" t="inlineStr">
        <is>
          <t>harmonised inventory</t>
        </is>
      </c>
    </row>
    <row r="35">
      <c r="A35" t="inlineStr">
        <is>
          <t>M1</t>
        </is>
      </c>
      <c r="B35" t="inlineStr">
        <is>
          <t>Total capture, compression and conversion electricity</t>
        </is>
      </c>
      <c r="C35" t="inlineStr">
        <is>
          <t>E_proc</t>
        </is>
      </c>
      <c r="D35" t="n">
        <v>46787.53577836801</v>
      </c>
      <c r="E35" t="inlineStr">
        <is>
          <t>MWh/y</t>
        </is>
      </c>
      <c r="F35" t="inlineStr">
        <is>
          <t>EF</t>
        </is>
      </c>
      <c r="G35" t="inlineStr">
        <is>
          <t>t-CO2/y</t>
        </is>
      </c>
      <c r="H35" t="inlineStr">
        <is>
          <t>CAP</t>
        </is>
      </c>
      <c r="I35" t="inlineStr">
        <is>
          <t>E_proc x s_cap x EF x m_el</t>
        </is>
      </c>
      <c r="J35" t="inlineStr">
        <is>
          <t>random</t>
        </is>
      </c>
      <c r="K35" t="inlineStr">
        <is>
          <t>m_el shared within family</t>
        </is>
      </c>
      <c r="L35" t="inlineStr">
        <is>
          <t>none</t>
        </is>
      </c>
      <c r="M35" t="inlineStr">
        <is>
          <t>+</t>
        </is>
      </c>
      <c r="N35" t="inlineStr">
        <is>
          <t>harmonised inventory</t>
        </is>
      </c>
    </row>
    <row r="36">
      <c r="A36" t="inlineStr">
        <is>
          <t>M1</t>
        </is>
      </c>
      <c r="B36" t="inlineStr">
        <is>
          <t>Pyrolysis electricity</t>
        </is>
      </c>
      <c r="C36" t="inlineStr">
        <is>
          <t>N/A</t>
        </is>
      </c>
      <c r="D36" t="inlineStr">
        <is>
          <t>N/A</t>
        </is>
      </c>
      <c r="E36" t="inlineStr">
        <is>
          <t>N/A</t>
        </is>
      </c>
      <c r="F36" t="inlineStr">
        <is>
          <t>N/A</t>
        </is>
      </c>
      <c r="G36" t="inlineStr">
        <is>
          <t>N/A</t>
        </is>
      </c>
      <c r="H36" t="inlineStr">
        <is>
          <t>N/A</t>
        </is>
      </c>
      <c r="I36" t="inlineStr">
        <is>
          <t>N/A</t>
        </is>
      </c>
      <c r="J36" t="inlineStr">
        <is>
          <t>N/A</t>
        </is>
      </c>
      <c r="K36" t="inlineStr">
        <is>
          <t>N/A</t>
        </is>
      </c>
      <c r="L36" t="inlineStr">
        <is>
          <t>N/A</t>
        </is>
      </c>
      <c r="M36" t="inlineStr">
        <is>
          <t>N/A</t>
        </is>
      </c>
      <c r="N36" t="inlineStr">
        <is>
          <t>N/A</t>
        </is>
      </c>
    </row>
    <row r="37">
      <c r="A37" t="inlineStr">
        <is>
          <t>M1</t>
        </is>
      </c>
      <c r="B37" t="inlineStr">
        <is>
          <t>Hydrogen demand</t>
        </is>
      </c>
      <c r="C37" t="inlineStr">
        <is>
          <t>N/A</t>
        </is>
      </c>
      <c r="D37" t="inlineStr">
        <is>
          <t>N/A</t>
        </is>
      </c>
      <c r="E37" t="inlineStr">
        <is>
          <t>N/A</t>
        </is>
      </c>
      <c r="F37" t="inlineStr">
        <is>
          <t>N/A</t>
        </is>
      </c>
      <c r="G37" t="inlineStr">
        <is>
          <t>N/A</t>
        </is>
      </c>
      <c r="H37" t="inlineStr">
        <is>
          <t>N/A</t>
        </is>
      </c>
      <c r="I37" t="inlineStr">
        <is>
          <t>N/A</t>
        </is>
      </c>
      <c r="J37" t="inlineStr">
        <is>
          <t>N/A</t>
        </is>
      </c>
      <c r="K37" t="inlineStr">
        <is>
          <t>N/A</t>
        </is>
      </c>
      <c r="L37" t="inlineStr">
        <is>
          <t>N/A</t>
        </is>
      </c>
      <c r="M37" t="inlineStr">
        <is>
          <t>N/A</t>
        </is>
      </c>
      <c r="N37" t="inlineStr">
        <is>
          <t>N/A</t>
        </is>
      </c>
    </row>
    <row r="38">
      <c r="A38" t="inlineStr">
        <is>
          <t>M1</t>
        </is>
      </c>
      <c r="B38" t="inlineStr">
        <is>
          <t>Direct fossil-carbon emission</t>
        </is>
      </c>
      <c r="C38" t="inlineStr">
        <is>
          <t>F</t>
        </is>
      </c>
      <c r="D38" t="n">
        <v>26475.1872</v>
      </c>
      <c r="E38" t="inlineStr">
        <is>
          <t>t-CO2/y</t>
        </is>
      </c>
      <c r="F38" t="inlineStr">
        <is>
          <t>already CO2</t>
        </is>
      </c>
      <c r="G38" t="inlineStr">
        <is>
          <t>t-CO2/y</t>
        </is>
      </c>
      <c r="H38" t="inlineStr">
        <is>
          <t>CARBON</t>
        </is>
      </c>
      <c r="I38" t="inlineStr">
        <is>
          <t>enters phi; see the carbon-flow rows below</t>
        </is>
      </c>
      <c r="J38" t="inlineStr">
        <is>
          <t>random</t>
        </is>
      </c>
      <c r="K38" t="inlineStr">
        <is>
          <t>F shared by all pathways</t>
        </is>
      </c>
      <c r="L38" t="inlineStr">
        <is>
          <t>none</t>
        </is>
      </c>
      <c r="M38" t="inlineStr">
        <is>
          <t>+</t>
        </is>
      </c>
      <c r="N38" t="inlineStr">
        <is>
          <t>national waste survey</t>
        </is>
      </c>
    </row>
    <row r="39">
      <c r="A39" t="inlineStr">
        <is>
          <t>M1</t>
        </is>
      </c>
      <c r="B39" t="inlineStr">
        <is>
          <t>Uncaptured fossil fraction</t>
        </is>
      </c>
      <c r="C39" t="inlineStr">
        <is>
          <t>(1-cr) F</t>
        </is>
      </c>
      <c r="D39" t="inlineStr">
        <is>
          <t>applies</t>
        </is>
      </c>
      <c r="E39" t="inlineStr">
        <is>
          <t>t-CO2/y</t>
        </is>
      </c>
      <c r="F39" t="inlineStr">
        <is>
          <t>already CO2</t>
        </is>
      </c>
      <c r="G39" t="inlineStr">
        <is>
          <t>t-CO2/y</t>
        </is>
      </c>
      <c r="H39" t="inlineStr">
        <is>
          <t>CARBON</t>
        </is>
      </c>
      <c r="I39" t="inlineStr">
        <is>
          <t>(1 - cr) x F, charged exactly once</t>
        </is>
      </c>
      <c r="J39" t="inlineStr">
        <is>
          <t>random through cr</t>
        </is>
      </c>
      <c r="K39" t="inlineStr">
        <is>
          <t>cr shared by capture pathways</t>
        </is>
      </c>
      <c r="L39" t="inlineStr">
        <is>
          <t>none</t>
        </is>
      </c>
      <c r="M39" t="inlineStr">
        <is>
          <t>+</t>
        </is>
      </c>
      <c r="N39" t="inlineStr">
        <is>
          <t>model</t>
        </is>
      </c>
    </row>
    <row r="40">
      <c r="A40" t="inlineStr">
        <is>
          <t>M1</t>
        </is>
      </c>
      <c r="B40" t="inlineStr">
        <is>
          <t>Mineralization reactor loss</t>
        </is>
      </c>
      <c r="C40" t="inlineStr">
        <is>
          <t>L_R,p</t>
        </is>
      </c>
      <c r="D40" t="n">
        <v>7462.126918400001</v>
      </c>
      <c r="E40" t="inlineStr">
        <is>
          <t>t-CO2/y</t>
        </is>
      </c>
      <c r="F40" t="inlineStr">
        <is>
          <t>already CO2</t>
        </is>
      </c>
      <c r="G40" t="inlineStr">
        <is>
          <t>t-CO2/y</t>
        </is>
      </c>
      <c r="H40" t="inlineStr">
        <is>
          <t>CAP</t>
        </is>
      </c>
      <c r="I40" t="inlineStr">
        <is>
          <t>L_R x s_cap x f, inside phi (f = F / T, fossil share)</t>
        </is>
      </c>
      <c r="J40" t="inlineStr">
        <is>
          <t>random</t>
        </is>
      </c>
      <c r="K40" t="inlineStr">
        <is>
          <t>pathway-specific</t>
        </is>
      </c>
      <c r="L40" t="inlineStr">
        <is>
          <t>none</t>
        </is>
      </c>
      <c r="M40" t="inlineStr">
        <is>
          <t>+</t>
        </is>
      </c>
      <c r="N40" t="inlineStr">
        <is>
          <t>source workbook, reactor loss only</t>
        </is>
      </c>
    </row>
    <row r="41">
      <c r="A41" t="inlineStr">
        <is>
          <t>M1</t>
        </is>
      </c>
      <c r="B41" t="inlineStr">
        <is>
          <t>CCU process vent</t>
        </is>
      </c>
      <c r="C41" t="inlineStr">
        <is>
          <t>N/A</t>
        </is>
      </c>
      <c r="D41" t="inlineStr">
        <is>
          <t>N/A</t>
        </is>
      </c>
      <c r="E41" t="inlineStr">
        <is>
          <t>N/A</t>
        </is>
      </c>
      <c r="F41" t="inlineStr">
        <is>
          <t>N/A</t>
        </is>
      </c>
      <c r="G41" t="inlineStr">
        <is>
          <t>N/A</t>
        </is>
      </c>
      <c r="H41" t="inlineStr">
        <is>
          <t>N/A</t>
        </is>
      </c>
      <c r="I41" t="inlineStr">
        <is>
          <t>N/A</t>
        </is>
      </c>
      <c r="J41" t="inlineStr">
        <is>
          <t>N/A</t>
        </is>
      </c>
      <c r="K41" t="inlineStr">
        <is>
          <t>N/A</t>
        </is>
      </c>
      <c r="L41" t="inlineStr">
        <is>
          <t>N/A</t>
        </is>
      </c>
      <c r="M41" t="inlineStr">
        <is>
          <t>N/A</t>
        </is>
      </c>
      <c r="N41" t="inlineStr">
        <is>
          <t>N/A</t>
        </is>
      </c>
    </row>
    <row r="42">
      <c r="A42" t="inlineStr">
        <is>
          <t>M1</t>
        </is>
      </c>
      <c r="B42" t="inlineStr">
        <is>
          <t>Product output</t>
        </is>
      </c>
      <c r="C42" t="inlineStr">
        <is>
          <t>N/A</t>
        </is>
      </c>
      <c r="D42" t="inlineStr">
        <is>
          <t>N/A</t>
        </is>
      </c>
      <c r="E42" t="inlineStr">
        <is>
          <t>N/A</t>
        </is>
      </c>
      <c r="F42" t="inlineStr">
        <is>
          <t>N/A</t>
        </is>
      </c>
      <c r="G42" t="inlineStr">
        <is>
          <t>N/A</t>
        </is>
      </c>
      <c r="H42" t="inlineStr">
        <is>
          <t>N/A</t>
        </is>
      </c>
      <c r="I42" t="inlineStr">
        <is>
          <t>N/A</t>
        </is>
      </c>
      <c r="J42" t="inlineStr">
        <is>
          <t>N/A</t>
        </is>
      </c>
      <c r="K42" t="inlineStr">
        <is>
          <t>N/A</t>
        </is>
      </c>
      <c r="L42" t="inlineStr">
        <is>
          <t>N/A</t>
        </is>
      </c>
      <c r="M42" t="inlineStr">
        <is>
          <t>N/A</t>
        </is>
      </c>
      <c r="N42" t="inlineStr">
        <is>
          <t>N/A</t>
        </is>
      </c>
    </row>
    <row r="43">
      <c r="A43" t="inlineStr">
        <is>
          <t>M1</t>
        </is>
      </c>
      <c r="B43" t="inlineStr">
        <is>
          <t>Displaced-product burden (cradle-to-grave)</t>
        </is>
      </c>
      <c r="C43" t="inlineStr">
        <is>
          <t>N/A</t>
        </is>
      </c>
      <c r="D43" t="inlineStr">
        <is>
          <t>N/A</t>
        </is>
      </c>
      <c r="E43" t="inlineStr">
        <is>
          <t>N/A</t>
        </is>
      </c>
      <c r="F43" t="inlineStr">
        <is>
          <t>N/A</t>
        </is>
      </c>
      <c r="G43" t="inlineStr">
        <is>
          <t>N/A</t>
        </is>
      </c>
      <c r="H43" t="inlineStr">
        <is>
          <t>N/A</t>
        </is>
      </c>
      <c r="I43" t="inlineStr">
        <is>
          <t>N/A</t>
        </is>
      </c>
      <c r="J43" t="inlineStr">
        <is>
          <t>N/A</t>
        </is>
      </c>
      <c r="K43" t="inlineStr">
        <is>
          <t>N/A</t>
        </is>
      </c>
      <c r="L43" t="inlineStr">
        <is>
          <t>N/A</t>
        </is>
      </c>
      <c r="M43" t="inlineStr">
        <is>
          <t>N/A</t>
        </is>
      </c>
      <c r="N43" t="inlineStr">
        <is>
          <t>N/A</t>
        </is>
      </c>
    </row>
    <row r="44">
      <c r="A44" t="inlineStr">
        <is>
          <t>M1</t>
        </is>
      </c>
      <c r="B44" t="inlineStr">
        <is>
          <t>Product fossil-combustion charge</t>
        </is>
      </c>
      <c r="C44" t="inlineStr">
        <is>
          <t>N/A</t>
        </is>
      </c>
      <c r="D44" t="inlineStr">
        <is>
          <t>N/A</t>
        </is>
      </c>
      <c r="E44" t="inlineStr">
        <is>
          <t>N/A</t>
        </is>
      </c>
      <c r="F44" t="inlineStr">
        <is>
          <t>N/A</t>
        </is>
      </c>
      <c r="G44" t="inlineStr">
        <is>
          <t>N/A</t>
        </is>
      </c>
      <c r="H44" t="inlineStr">
        <is>
          <t>N/A</t>
        </is>
      </c>
      <c r="I44" t="inlineStr">
        <is>
          <t>N/A</t>
        </is>
      </c>
      <c r="J44" t="inlineStr">
        <is>
          <t>N/A</t>
        </is>
      </c>
      <c r="K44" t="inlineStr">
        <is>
          <t>N/A</t>
        </is>
      </c>
      <c r="L44" t="inlineStr">
        <is>
          <t>N/A</t>
        </is>
      </c>
      <c r="M44" t="inlineStr">
        <is>
          <t>N/A</t>
        </is>
      </c>
      <c r="N44" t="inlineStr">
        <is>
          <t>N/A</t>
        </is>
      </c>
    </row>
    <row r="45">
      <c r="A45" t="inlineStr">
        <is>
          <t>M1</t>
        </is>
      </c>
      <c r="B45" t="inlineStr">
        <is>
          <t>Diverted plastic carbon</t>
        </is>
      </c>
      <c r="C45" t="inlineStr">
        <is>
          <t>N/A</t>
        </is>
      </c>
      <c r="D45" t="inlineStr">
        <is>
          <t>N/A</t>
        </is>
      </c>
      <c r="E45" t="inlineStr">
        <is>
          <t>N/A</t>
        </is>
      </c>
      <c r="F45" t="inlineStr">
        <is>
          <t>N/A</t>
        </is>
      </c>
      <c r="G45" t="inlineStr">
        <is>
          <t>N/A</t>
        </is>
      </c>
      <c r="H45" t="inlineStr">
        <is>
          <t>N/A</t>
        </is>
      </c>
      <c r="I45" t="inlineStr">
        <is>
          <t>N/A</t>
        </is>
      </c>
      <c r="J45" t="inlineStr">
        <is>
          <t>N/A</t>
        </is>
      </c>
      <c r="K45" t="inlineStr">
        <is>
          <t>N/A</t>
        </is>
      </c>
      <c r="L45" t="inlineStr">
        <is>
          <t>N/A</t>
        </is>
      </c>
      <c r="M45" t="inlineStr">
        <is>
          <t>N/A</t>
        </is>
      </c>
      <c r="N45" t="inlineStr">
        <is>
          <t>N/A</t>
        </is>
      </c>
    </row>
    <row r="46">
      <c r="A46" t="inlineStr">
        <is>
          <t>M1</t>
        </is>
      </c>
      <c r="B46" t="inlineStr">
        <is>
          <t>Permanent geological storage</t>
        </is>
      </c>
      <c r="C46" t="inlineStr">
        <is>
          <t>S_fossil</t>
        </is>
      </c>
      <c r="D46" t="inlineStr">
        <is>
          <t>applies</t>
        </is>
      </c>
      <c r="E46" t="inlineStr">
        <is>
          <t>t-CO2/y</t>
        </is>
      </c>
      <c r="F46" t="inlineStr">
        <is>
          <t>already CO2</t>
        </is>
      </c>
      <c r="G46" t="inlineStr">
        <is>
          <t>t-CO2/y</t>
        </is>
      </c>
      <c r="H46" t="inlineStr">
        <is>
          <t>CARBON</t>
        </is>
      </c>
      <c r="I46" t="inlineStr">
        <is>
          <t>implicit: the retained fraction is simply never released, and is not credited a second time</t>
        </is>
      </c>
      <c r="J46" t="inlineStr">
        <is>
          <t>random through cr</t>
        </is>
      </c>
      <c r="K46" t="inlineStr">
        <is>
          <t>cr shared</t>
        </is>
      </c>
      <c r="L46" t="inlineStr">
        <is>
          <t>none</t>
        </is>
      </c>
      <c r="M46" t="inlineStr">
        <is>
          <t>n/a</t>
        </is>
      </c>
      <c r="N46" t="inlineStr">
        <is>
          <t>model</t>
        </is>
      </c>
    </row>
    <row r="47">
      <c r="A47" t="inlineStr">
        <is>
          <t>M1</t>
        </is>
      </c>
      <c r="B47" t="inlineStr">
        <is>
          <t>Temporary product storage</t>
        </is>
      </c>
      <c r="C47" t="inlineStr">
        <is>
          <t>N/A</t>
        </is>
      </c>
      <c r="D47" t="inlineStr">
        <is>
          <t>N/A</t>
        </is>
      </c>
      <c r="E47" t="inlineStr">
        <is>
          <t>N/A</t>
        </is>
      </c>
      <c r="F47" t="inlineStr">
        <is>
          <t>N/A</t>
        </is>
      </c>
      <c r="G47" t="inlineStr">
        <is>
          <t>N/A</t>
        </is>
      </c>
      <c r="H47" t="inlineStr">
        <is>
          <t>N/A</t>
        </is>
      </c>
      <c r="I47" t="inlineStr">
        <is>
          <t>N/A</t>
        </is>
      </c>
      <c r="J47" t="inlineStr">
        <is>
          <t>N/A</t>
        </is>
      </c>
      <c r="K47" t="inlineStr">
        <is>
          <t>N/A</t>
        </is>
      </c>
      <c r="L47" t="inlineStr">
        <is>
          <t>N/A</t>
        </is>
      </c>
      <c r="M47" t="inlineStr">
        <is>
          <t>N/A</t>
        </is>
      </c>
      <c r="N47" t="inlineStr">
        <is>
          <t>N/A</t>
        </is>
      </c>
    </row>
    <row r="48">
      <c r="A48" t="inlineStr">
        <is>
          <t>M1</t>
        </is>
      </c>
      <c r="B48" t="inlineStr">
        <is>
          <t>Final atmospheric release</t>
        </is>
      </c>
      <c r="C48" t="inlineStr">
        <is>
          <t>N/A</t>
        </is>
      </c>
      <c r="D48" t="inlineStr">
        <is>
          <t>N/A</t>
        </is>
      </c>
      <c r="E48" t="inlineStr">
        <is>
          <t>N/A</t>
        </is>
      </c>
      <c r="F48" t="inlineStr">
        <is>
          <t>N/A</t>
        </is>
      </c>
      <c r="G48" t="inlineStr">
        <is>
          <t>N/A</t>
        </is>
      </c>
      <c r="H48" t="inlineStr">
        <is>
          <t>N/A</t>
        </is>
      </c>
      <c r="I48" t="inlineStr">
        <is>
          <t>N/A</t>
        </is>
      </c>
      <c r="J48" t="inlineStr">
        <is>
          <t>N/A</t>
        </is>
      </c>
      <c r="K48" t="inlineStr">
        <is>
          <t>N/A</t>
        </is>
      </c>
      <c r="L48" t="inlineStr">
        <is>
          <t>N/A</t>
        </is>
      </c>
      <c r="M48" t="inlineStr">
        <is>
          <t>N/A</t>
        </is>
      </c>
      <c r="N48" t="inlineStr">
        <is>
          <t>N/A</t>
        </is>
      </c>
    </row>
    <row r="49">
      <c r="A49" t="inlineStr">
        <is>
          <t>M1</t>
        </is>
      </c>
      <c r="B49" t="inlineStr">
        <is>
          <t>Capture solvent burden (R1 explicit)</t>
        </is>
      </c>
      <c r="C49" t="inlineStr">
        <is>
          <t>R_p</t>
        </is>
      </c>
      <c r="D49" t="n">
        <v>1057.227651280685</v>
      </c>
      <c r="E49" t="inlineStr">
        <is>
          <t>t-CO2/y</t>
        </is>
      </c>
      <c r="F49" t="inlineStr">
        <is>
          <t>already CO2</t>
        </is>
      </c>
      <c r="G49" t="inlineStr">
        <is>
          <t>t-CO2/y</t>
        </is>
      </c>
      <c r="H49" t="inlineStr">
        <is>
          <t>CAP</t>
        </is>
      </c>
      <c r="I49" t="inlineStr">
        <is>
          <t>R_p x s_cap x m_reag</t>
        </is>
      </c>
      <c r="J49" t="inlineStr">
        <is>
          <t>random through m_reag</t>
        </is>
      </c>
      <c r="K49" t="inlineStr">
        <is>
          <t>m_reag shared by all capture pathways</t>
        </is>
      </c>
      <c r="L49" t="inlineStr">
        <is>
          <t>none</t>
        </is>
      </c>
      <c r="M49" t="inlineStr">
        <is>
          <t>+</t>
        </is>
      </c>
      <c r="N49" t="inlineStr">
        <is>
          <t>Bisinella et al. 2021, Table 4: 12 kg CO2-eq per t ww</t>
        </is>
      </c>
    </row>
    <row r="50">
      <c r="A50" t="inlineStr">
        <is>
          <t>M1</t>
        </is>
      </c>
      <c r="B50" t="inlineStr">
        <is>
          <t>Transport (R1 explicit: CO2 to storage / ore / slag / CO2 to synthesis)</t>
        </is>
      </c>
      <c r="C50" t="inlineStr">
        <is>
          <t>Tr_p</t>
        </is>
      </c>
      <c r="D50" t="n">
        <v>5653.65696231722</v>
      </c>
      <c r="E50" t="inlineStr">
        <is>
          <t>t-CO2/y</t>
        </is>
      </c>
      <c r="F50" t="inlineStr">
        <is>
          <t>already CO2</t>
        </is>
      </c>
      <c r="G50" t="inlineStr">
        <is>
          <t>t-CO2/y</t>
        </is>
      </c>
      <c r="H50" t="inlineStr">
        <is>
          <t>CAP</t>
        </is>
      </c>
      <c r="I50" t="inlineStr">
        <is>
          <t>Tr_p x s_cap x m_trans</t>
        </is>
      </c>
      <c r="J50" t="inlineStr">
        <is>
          <t>random through m_trans</t>
        </is>
      </c>
      <c r="K50" t="inlineStr">
        <is>
          <t>m_trans shared within capture family</t>
        </is>
      </c>
      <c r="L50" t="inlineStr">
        <is>
          <t>none</t>
        </is>
      </c>
      <c r="M50" t="inlineStr">
        <is>
          <t>+</t>
        </is>
      </c>
      <c r="N50" t="inlineStr">
        <is>
          <t>G: Bisinella et al. 2021 Section 2.4; M: source workbook t-km; U: source workbook</t>
        </is>
      </c>
    </row>
    <row r="51">
      <c r="A51" t="inlineStr">
        <is>
          <t>M1</t>
        </is>
      </c>
      <c r="B51" t="inlineStr">
        <is>
          <t>Product transport</t>
        </is>
      </c>
      <c r="C51" t="inlineStr">
        <is>
          <t>N/A</t>
        </is>
      </c>
      <c r="D51" t="inlineStr">
        <is>
          <t>N/A</t>
        </is>
      </c>
      <c r="E51" t="inlineStr">
        <is>
          <t>N/A</t>
        </is>
      </c>
      <c r="F51" t="inlineStr">
        <is>
          <t>N/A</t>
        </is>
      </c>
      <c r="G51" t="inlineStr">
        <is>
          <t>N/A</t>
        </is>
      </c>
      <c r="H51" t="inlineStr">
        <is>
          <t>N/A</t>
        </is>
      </c>
      <c r="I51" t="inlineStr">
        <is>
          <t>N/A</t>
        </is>
      </c>
      <c r="J51" t="inlineStr">
        <is>
          <t>N/A</t>
        </is>
      </c>
      <c r="K51" t="inlineStr">
        <is>
          <t>N/A</t>
        </is>
      </c>
      <c r="L51" t="inlineStr">
        <is>
          <t>N/A</t>
        </is>
      </c>
      <c r="M51" t="inlineStr">
        <is>
          <t>N/A</t>
        </is>
      </c>
      <c r="N51" t="inlineStr">
        <is>
          <t>N/A</t>
        </is>
      </c>
    </row>
    <row r="52">
      <c r="A52" t="inlineStr">
        <is>
          <t>M1</t>
        </is>
      </c>
      <c r="B52" t="inlineStr">
        <is>
          <t>Capital-related burdens</t>
        </is>
      </c>
      <c r="C52" t="inlineStr">
        <is>
          <t>C_cap</t>
        </is>
      </c>
      <c r="D52" t="inlineStr">
        <is>
          <t>inside residual</t>
        </is>
      </c>
      <c r="E52" t="inlineStr">
        <is>
          <t>t-CO2/y</t>
        </is>
      </c>
      <c r="F52" t="inlineStr">
        <is>
          <t>annualised</t>
        </is>
      </c>
      <c r="G52" t="inlineStr">
        <is>
          <t>t-CO2/y</t>
        </is>
      </c>
      <c r="H52" t="inlineStr">
        <is>
          <t>RESIDUAL</t>
        </is>
      </c>
      <c r="I52" t="inlineStr">
        <is>
          <t>annualised, held at its national value, x m_rem</t>
        </is>
      </c>
      <c r="J52" t="inlineStr">
        <is>
          <t>random through m_rem</t>
        </is>
      </c>
      <c r="K52" t="inlineStr">
        <is>
          <t>pathway-specific</t>
        </is>
      </c>
      <c r="L52" t="inlineStr">
        <is>
          <t>none</t>
        </is>
      </c>
      <c r="M52" t="inlineStr">
        <is>
          <t>+</t>
        </is>
      </c>
      <c r="N52" t="inlineStr">
        <is>
          <t>calibrated remainder</t>
        </is>
      </c>
    </row>
    <row r="53">
      <c r="A53" t="inlineStr">
        <is>
          <t>M1</t>
        </is>
      </c>
      <c r="B53" t="inlineStr">
        <is>
          <t>Calibrated residual, total</t>
        </is>
      </c>
      <c r="C53" t="inlineStr">
        <is>
          <t>C_p</t>
        </is>
      </c>
      <c r="D53" t="n">
        <v>1092.66</v>
      </c>
      <c r="E53" t="inlineStr">
        <is>
          <t>t-CO2/y</t>
        </is>
      </c>
      <c r="F53" t="inlineStr">
        <is>
          <t>already CO2</t>
        </is>
      </c>
      <c r="G53" t="inlineStr">
        <is>
          <t>t-CO2/y</t>
        </is>
      </c>
      <c r="H53" t="inlineStr">
        <is>
          <t>RESIDUAL</t>
        </is>
      </c>
      <c r="I53" t="inlineStr">
        <is>
          <t>C_p x m_rem</t>
        </is>
      </c>
      <c r="J53" t="inlineStr">
        <is>
          <t>random through m_rem</t>
        </is>
      </c>
      <c r="K53" t="inlineStr">
        <is>
          <t>pathway-specific</t>
        </is>
      </c>
      <c r="L53" t="inlineStr">
        <is>
          <t>shifts with the anchor under B</t>
        </is>
      </c>
      <c r="M53" t="inlineStr">
        <is>
          <t>+/-</t>
        </is>
      </c>
      <c r="N53" t="inlineStr">
        <is>
          <t>verified national value minus the explicit groups</t>
        </is>
      </c>
    </row>
    <row r="54">
      <c r="A54" t="inlineStr">
        <is>
          <t>M2</t>
        </is>
      </c>
      <c r="B54" t="inlineStr">
        <is>
          <t>Plant auxiliary electricity</t>
        </is>
      </c>
      <c r="C54" t="inlineStr">
        <is>
          <t>E_aux</t>
        </is>
      </c>
      <c r="D54" t="n">
        <v>24360</v>
      </c>
      <c r="E54" t="inlineStr">
        <is>
          <t>MWh/y</t>
        </is>
      </c>
      <c r="F54" t="inlineStr">
        <is>
          <t>EF</t>
        </is>
      </c>
      <c r="G54" t="inlineStr">
        <is>
          <t>t-CO2/y</t>
        </is>
      </c>
      <c r="H54" t="inlineStr">
        <is>
          <t>FIXED</t>
        </is>
      </c>
      <c r="I54" t="inlineStr">
        <is>
          <t>E_aux x EF</t>
        </is>
      </c>
      <c r="J54" t="inlineStr">
        <is>
          <t>random through EF</t>
        </is>
      </c>
      <c r="K54" t="inlineStr">
        <is>
          <t>EF shared by all pathways</t>
        </is>
      </c>
      <c r="L54" t="inlineStr">
        <is>
          <t>none</t>
        </is>
      </c>
      <c r="M54" t="inlineStr">
        <is>
          <t>+</t>
        </is>
      </c>
      <c r="N54" t="inlineStr">
        <is>
          <t>harmonised inventory</t>
        </is>
      </c>
    </row>
    <row r="55">
      <c r="A55" t="inlineStr">
        <is>
          <t>M2</t>
        </is>
      </c>
      <c r="B55" t="inlineStr">
        <is>
          <t>Baseline electricity export</t>
        </is>
      </c>
      <c r="C55" t="inlineStr">
        <is>
          <t>E_exp_base</t>
        </is>
      </c>
      <c r="D55" t="n">
        <v>-43207</v>
      </c>
      <c r="E55" t="inlineStr">
        <is>
          <t>MWh/y</t>
        </is>
      </c>
      <c r="F55" t="inlineStr">
        <is>
          <t>EF</t>
        </is>
      </c>
      <c r="G55" t="inlineStr">
        <is>
          <t>t-CO2/y</t>
        </is>
      </c>
      <c r="H55" t="inlineStr">
        <is>
          <t>FIXED</t>
        </is>
      </c>
      <c r="I55" t="inlineStr">
        <is>
          <t>minus E_exp_base x EF</t>
        </is>
      </c>
      <c r="J55" t="inlineStr">
        <is>
          <t>random through EF</t>
        </is>
      </c>
      <c r="K55" t="inlineStr">
        <is>
          <t>EF shared by all pathways</t>
        </is>
      </c>
      <c r="L55" t="inlineStr">
        <is>
          <t>none</t>
        </is>
      </c>
      <c r="M55" t="inlineStr">
        <is>
          <t>-</t>
        </is>
      </c>
      <c r="N55" t="inlineStr">
        <is>
          <t>harmonised inventory</t>
        </is>
      </c>
    </row>
    <row r="56">
      <c r="A56" t="inlineStr">
        <is>
          <t>M2</t>
        </is>
      </c>
      <c r="B56" t="inlineStr">
        <is>
          <t>Steam generation burden</t>
        </is>
      </c>
      <c r="C56" t="inlineStr">
        <is>
          <t>n/a</t>
        </is>
      </c>
      <c r="D56" t="inlineStr">
        <is>
          <t>not separate</t>
        </is>
      </c>
      <c r="E56" t="inlineStr">
        <is>
          <t>MWh/y</t>
        </is>
      </c>
      <c r="F56" t="inlineStr">
        <is>
          <t>n/a</t>
        </is>
      </c>
      <c r="G56" t="inlineStr">
        <is>
          <t>t-CO2/y</t>
        </is>
      </c>
      <c r="H56" t="inlineStr">
        <is>
          <t>FIXED</t>
        </is>
      </c>
      <c r="I56" t="inlineStr">
        <is>
          <t>inside E_exp_base; same waste tonnage in every region</t>
        </is>
      </c>
      <c r="J56" t="inlineStr">
        <is>
          <t>deterministic</t>
        </is>
      </c>
      <c r="K56" t="inlineStr">
        <is>
          <t>shared by all pathways</t>
        </is>
      </c>
      <c r="L56" t="inlineStr">
        <is>
          <t>none</t>
        </is>
      </c>
      <c r="M56" t="inlineStr">
        <is>
          <t>n/a</t>
        </is>
      </c>
      <c r="N56" t="inlineStr">
        <is>
          <t>harmonised inventory</t>
        </is>
      </c>
    </row>
    <row r="57">
      <c r="A57" t="inlineStr">
        <is>
          <t>M2</t>
        </is>
      </c>
      <c r="B57" t="inlineStr">
        <is>
          <t>Steam-extraction export penalty</t>
        </is>
      </c>
      <c r="C57" t="inlineStr">
        <is>
          <t>P_steam</t>
        </is>
      </c>
      <c r="D57" t="n">
        <v>13087</v>
      </c>
      <c r="E57" t="inlineStr">
        <is>
          <t>MWh/y</t>
        </is>
      </c>
      <c r="F57" t="inlineStr">
        <is>
          <t>EF</t>
        </is>
      </c>
      <c r="G57" t="inlineStr">
        <is>
          <t>t-CO2/y</t>
        </is>
      </c>
      <c r="H57" t="inlineStr">
        <is>
          <t>CAP</t>
        </is>
      </c>
      <c r="I57" t="inlineStr">
        <is>
          <t>P_steam x s_cap x EF</t>
        </is>
      </c>
      <c r="J57" t="inlineStr">
        <is>
          <t>random through EF and cr</t>
        </is>
      </c>
      <c r="K57" t="inlineStr">
        <is>
          <t>EF and cr shared</t>
        </is>
      </c>
      <c r="L57" t="inlineStr">
        <is>
          <t>none</t>
        </is>
      </c>
      <c r="M57" t="inlineStr">
        <is>
          <t>+</t>
        </is>
      </c>
      <c r="N57" t="inlineStr">
        <is>
          <t>E_exp_base minus E_exp_cc</t>
        </is>
      </c>
    </row>
    <row r="58">
      <c r="A58" t="inlineStr">
        <is>
          <t>M2</t>
        </is>
      </c>
      <c r="B58" t="inlineStr">
        <is>
          <t>Capture electricity</t>
        </is>
      </c>
      <c r="C58" t="inlineStr">
        <is>
          <t>E_proc part</t>
        </is>
      </c>
      <c r="D58" t="inlineStr">
        <is>
          <t>inside E_proc</t>
        </is>
      </c>
      <c r="E58" t="inlineStr">
        <is>
          <t>MWh/y</t>
        </is>
      </c>
      <c r="F58" t="inlineStr">
        <is>
          <t>EF</t>
        </is>
      </c>
      <c r="G58" t="inlineStr">
        <is>
          <t>t-CO2/y</t>
        </is>
      </c>
      <c r="H58" t="inlineStr">
        <is>
          <t>CAP</t>
        </is>
      </c>
      <c r="I58" t="inlineStr">
        <is>
          <t>E_proc x s_cap x EF x m_el</t>
        </is>
      </c>
      <c r="J58" t="inlineStr">
        <is>
          <t>random</t>
        </is>
      </c>
      <c r="K58" t="inlineStr">
        <is>
          <t>m_el shared within family</t>
        </is>
      </c>
      <c r="L58" t="inlineStr">
        <is>
          <t>none</t>
        </is>
      </c>
      <c r="M58" t="inlineStr">
        <is>
          <t>+</t>
        </is>
      </c>
      <c r="N58" t="inlineStr">
        <is>
          <t>harmonised inventory</t>
        </is>
      </c>
    </row>
    <row r="59">
      <c r="A59" t="inlineStr">
        <is>
          <t>M2</t>
        </is>
      </c>
      <c r="B59" t="inlineStr">
        <is>
          <t>CO2 compression electricity</t>
        </is>
      </c>
      <c r="C59" t="inlineStr">
        <is>
          <t>E_proc part</t>
        </is>
      </c>
      <c r="D59" t="inlineStr">
        <is>
          <t>inside E_proc</t>
        </is>
      </c>
      <c r="E59" t="inlineStr">
        <is>
          <t>MWh/y</t>
        </is>
      </c>
      <c r="F59" t="inlineStr">
        <is>
          <t>EF</t>
        </is>
      </c>
      <c r="G59" t="inlineStr">
        <is>
          <t>t-CO2/y</t>
        </is>
      </c>
      <c r="H59" t="inlineStr">
        <is>
          <t>CAP</t>
        </is>
      </c>
      <c r="I59" t="inlineStr">
        <is>
          <t>E_proc x s_cap x EF x m_el</t>
        </is>
      </c>
      <c r="J59" t="inlineStr">
        <is>
          <t>random</t>
        </is>
      </c>
      <c r="K59" t="inlineStr">
        <is>
          <t>m_el shared within family</t>
        </is>
      </c>
      <c r="L59" t="inlineStr">
        <is>
          <t>none</t>
        </is>
      </c>
      <c r="M59" t="inlineStr">
        <is>
          <t>+</t>
        </is>
      </c>
      <c r="N59" t="inlineStr">
        <is>
          <t>harmonised inventory</t>
        </is>
      </c>
    </row>
    <row r="60">
      <c r="A60" t="inlineStr">
        <is>
          <t>M2</t>
        </is>
      </c>
      <c r="B60" t="inlineStr">
        <is>
          <t>Conversion electricity</t>
        </is>
      </c>
      <c r="C60" t="inlineStr">
        <is>
          <t>E_proc part</t>
        </is>
      </c>
      <c r="D60" t="inlineStr">
        <is>
          <t>inside E_proc</t>
        </is>
      </c>
      <c r="E60" t="inlineStr">
        <is>
          <t>MWh/y</t>
        </is>
      </c>
      <c r="F60" t="inlineStr">
        <is>
          <t>EF</t>
        </is>
      </c>
      <c r="G60" t="inlineStr">
        <is>
          <t>t-CO2/y</t>
        </is>
      </c>
      <c r="H60" t="inlineStr">
        <is>
          <t>CAP</t>
        </is>
      </c>
      <c r="I60" t="inlineStr">
        <is>
          <t>E_proc x s_cap x EF x m_el</t>
        </is>
      </c>
      <c r="J60" t="inlineStr">
        <is>
          <t>random</t>
        </is>
      </c>
      <c r="K60" t="inlineStr">
        <is>
          <t>m_el shared within family</t>
        </is>
      </c>
      <c r="L60" t="inlineStr">
        <is>
          <t>none</t>
        </is>
      </c>
      <c r="M60" t="inlineStr">
        <is>
          <t>+</t>
        </is>
      </c>
      <c r="N60" t="inlineStr">
        <is>
          <t>harmonised inventory</t>
        </is>
      </c>
    </row>
    <row r="61">
      <c r="A61" t="inlineStr">
        <is>
          <t>M2</t>
        </is>
      </c>
      <c r="B61" t="inlineStr">
        <is>
          <t>Total capture, compression and conversion electricity</t>
        </is>
      </c>
      <c r="C61" t="inlineStr">
        <is>
          <t>E_proc</t>
        </is>
      </c>
      <c r="D61" t="n">
        <v>21341.65058168177</v>
      </c>
      <c r="E61" t="inlineStr">
        <is>
          <t>MWh/y</t>
        </is>
      </c>
      <c r="F61" t="inlineStr">
        <is>
          <t>EF</t>
        </is>
      </c>
      <c r="G61" t="inlineStr">
        <is>
          <t>t-CO2/y</t>
        </is>
      </c>
      <c r="H61" t="inlineStr">
        <is>
          <t>CAP</t>
        </is>
      </c>
      <c r="I61" t="inlineStr">
        <is>
          <t>E_proc x s_cap x EF x m_el</t>
        </is>
      </c>
      <c r="J61" t="inlineStr">
        <is>
          <t>random</t>
        </is>
      </c>
      <c r="K61" t="inlineStr">
        <is>
          <t>m_el shared within family</t>
        </is>
      </c>
      <c r="L61" t="inlineStr">
        <is>
          <t>none</t>
        </is>
      </c>
      <c r="M61" t="inlineStr">
        <is>
          <t>+</t>
        </is>
      </c>
      <c r="N61" t="inlineStr">
        <is>
          <t>harmonised inventory</t>
        </is>
      </c>
    </row>
    <row r="62">
      <c r="A62" t="inlineStr">
        <is>
          <t>M2</t>
        </is>
      </c>
      <c r="B62" t="inlineStr">
        <is>
          <t>Pyrolysis electricity</t>
        </is>
      </c>
      <c r="C62" t="inlineStr">
        <is>
          <t>N/A</t>
        </is>
      </c>
      <c r="D62" t="inlineStr">
        <is>
          <t>N/A</t>
        </is>
      </c>
      <c r="E62" t="inlineStr">
        <is>
          <t>N/A</t>
        </is>
      </c>
      <c r="F62" t="inlineStr">
        <is>
          <t>N/A</t>
        </is>
      </c>
      <c r="G62" t="inlineStr">
        <is>
          <t>N/A</t>
        </is>
      </c>
      <c r="H62" t="inlineStr">
        <is>
          <t>N/A</t>
        </is>
      </c>
      <c r="I62" t="inlineStr">
        <is>
          <t>N/A</t>
        </is>
      </c>
      <c r="J62" t="inlineStr">
        <is>
          <t>N/A</t>
        </is>
      </c>
      <c r="K62" t="inlineStr">
        <is>
          <t>N/A</t>
        </is>
      </c>
      <c r="L62" t="inlineStr">
        <is>
          <t>N/A</t>
        </is>
      </c>
      <c r="M62" t="inlineStr">
        <is>
          <t>N/A</t>
        </is>
      </c>
      <c r="N62" t="inlineStr">
        <is>
          <t>N/A</t>
        </is>
      </c>
    </row>
    <row r="63">
      <c r="A63" t="inlineStr">
        <is>
          <t>M2</t>
        </is>
      </c>
      <c r="B63" t="inlineStr">
        <is>
          <t>Hydrogen demand</t>
        </is>
      </c>
      <c r="C63" t="inlineStr">
        <is>
          <t>N/A</t>
        </is>
      </c>
      <c r="D63" t="inlineStr">
        <is>
          <t>N/A</t>
        </is>
      </c>
      <c r="E63" t="inlineStr">
        <is>
          <t>N/A</t>
        </is>
      </c>
      <c r="F63" t="inlineStr">
        <is>
          <t>N/A</t>
        </is>
      </c>
      <c r="G63" t="inlineStr">
        <is>
          <t>N/A</t>
        </is>
      </c>
      <c r="H63" t="inlineStr">
        <is>
          <t>N/A</t>
        </is>
      </c>
      <c r="I63" t="inlineStr">
        <is>
          <t>N/A</t>
        </is>
      </c>
      <c r="J63" t="inlineStr">
        <is>
          <t>N/A</t>
        </is>
      </c>
      <c r="K63" t="inlineStr">
        <is>
          <t>N/A</t>
        </is>
      </c>
      <c r="L63" t="inlineStr">
        <is>
          <t>N/A</t>
        </is>
      </c>
      <c r="M63" t="inlineStr">
        <is>
          <t>N/A</t>
        </is>
      </c>
      <c r="N63" t="inlineStr">
        <is>
          <t>N/A</t>
        </is>
      </c>
    </row>
    <row r="64">
      <c r="A64" t="inlineStr">
        <is>
          <t>M2</t>
        </is>
      </c>
      <c r="B64" t="inlineStr">
        <is>
          <t>Direct fossil-carbon emission</t>
        </is>
      </c>
      <c r="C64" t="inlineStr">
        <is>
          <t>F</t>
        </is>
      </c>
      <c r="D64" t="n">
        <v>26475.1872</v>
      </c>
      <c r="E64" t="inlineStr">
        <is>
          <t>t-CO2/y</t>
        </is>
      </c>
      <c r="F64" t="inlineStr">
        <is>
          <t>already CO2</t>
        </is>
      </c>
      <c r="G64" t="inlineStr">
        <is>
          <t>t-CO2/y</t>
        </is>
      </c>
      <c r="H64" t="inlineStr">
        <is>
          <t>CARBON</t>
        </is>
      </c>
      <c r="I64" t="inlineStr">
        <is>
          <t>enters phi; see the carbon-flow rows below</t>
        </is>
      </c>
      <c r="J64" t="inlineStr">
        <is>
          <t>random</t>
        </is>
      </c>
      <c r="K64" t="inlineStr">
        <is>
          <t>F shared by all pathways</t>
        </is>
      </c>
      <c r="L64" t="inlineStr">
        <is>
          <t>none</t>
        </is>
      </c>
      <c r="M64" t="inlineStr">
        <is>
          <t>+</t>
        </is>
      </c>
      <c r="N64" t="inlineStr">
        <is>
          <t>national waste survey</t>
        </is>
      </c>
    </row>
    <row r="65">
      <c r="A65" t="inlineStr">
        <is>
          <t>M2</t>
        </is>
      </c>
      <c r="B65" t="inlineStr">
        <is>
          <t>Uncaptured fossil fraction</t>
        </is>
      </c>
      <c r="C65" t="inlineStr">
        <is>
          <t>(1-cr) F</t>
        </is>
      </c>
      <c r="D65" t="inlineStr">
        <is>
          <t>applies</t>
        </is>
      </c>
      <c r="E65" t="inlineStr">
        <is>
          <t>t-CO2/y</t>
        </is>
      </c>
      <c r="F65" t="inlineStr">
        <is>
          <t>already CO2</t>
        </is>
      </c>
      <c r="G65" t="inlineStr">
        <is>
          <t>t-CO2/y</t>
        </is>
      </c>
      <c r="H65" t="inlineStr">
        <is>
          <t>CARBON</t>
        </is>
      </c>
      <c r="I65" t="inlineStr">
        <is>
          <t>(1 - cr) x F, charged exactly once</t>
        </is>
      </c>
      <c r="J65" t="inlineStr">
        <is>
          <t>random through cr</t>
        </is>
      </c>
      <c r="K65" t="inlineStr">
        <is>
          <t>cr shared by capture pathways</t>
        </is>
      </c>
      <c r="L65" t="inlineStr">
        <is>
          <t>none</t>
        </is>
      </c>
      <c r="M65" t="inlineStr">
        <is>
          <t>+</t>
        </is>
      </c>
      <c r="N65" t="inlineStr">
        <is>
          <t>model</t>
        </is>
      </c>
    </row>
    <row r="66">
      <c r="A66" t="inlineStr">
        <is>
          <t>M2</t>
        </is>
      </c>
      <c r="B66" t="inlineStr">
        <is>
          <t>Mineralization reactor loss</t>
        </is>
      </c>
      <c r="C66" t="inlineStr">
        <is>
          <t>L_R,p</t>
        </is>
      </c>
      <c r="D66" t="n">
        <v>4029.54</v>
      </c>
      <c r="E66" t="inlineStr">
        <is>
          <t>t-CO2/y</t>
        </is>
      </c>
      <c r="F66" t="inlineStr">
        <is>
          <t>already CO2</t>
        </is>
      </c>
      <c r="G66" t="inlineStr">
        <is>
          <t>t-CO2/y</t>
        </is>
      </c>
      <c r="H66" t="inlineStr">
        <is>
          <t>CAP</t>
        </is>
      </c>
      <c r="I66" t="inlineStr">
        <is>
          <t>L_R x s_cap x f, inside phi (f = F / T, fossil share)</t>
        </is>
      </c>
      <c r="J66" t="inlineStr">
        <is>
          <t>random</t>
        </is>
      </c>
      <c r="K66" t="inlineStr">
        <is>
          <t>pathway-specific</t>
        </is>
      </c>
      <c r="L66" t="inlineStr">
        <is>
          <t>none</t>
        </is>
      </c>
      <c r="M66" t="inlineStr">
        <is>
          <t>+</t>
        </is>
      </c>
      <c r="N66" t="inlineStr">
        <is>
          <t>source workbook, reactor loss only</t>
        </is>
      </c>
    </row>
    <row r="67">
      <c r="A67" t="inlineStr">
        <is>
          <t>M2</t>
        </is>
      </c>
      <c r="B67" t="inlineStr">
        <is>
          <t>CCU process vent</t>
        </is>
      </c>
      <c r="C67" t="inlineStr">
        <is>
          <t>N/A</t>
        </is>
      </c>
      <c r="D67" t="inlineStr">
        <is>
          <t>N/A</t>
        </is>
      </c>
      <c r="E67" t="inlineStr">
        <is>
          <t>N/A</t>
        </is>
      </c>
      <c r="F67" t="inlineStr">
        <is>
          <t>N/A</t>
        </is>
      </c>
      <c r="G67" t="inlineStr">
        <is>
          <t>N/A</t>
        </is>
      </c>
      <c r="H67" t="inlineStr">
        <is>
          <t>N/A</t>
        </is>
      </c>
      <c r="I67" t="inlineStr">
        <is>
          <t>N/A</t>
        </is>
      </c>
      <c r="J67" t="inlineStr">
        <is>
          <t>N/A</t>
        </is>
      </c>
      <c r="K67" t="inlineStr">
        <is>
          <t>N/A</t>
        </is>
      </c>
      <c r="L67" t="inlineStr">
        <is>
          <t>N/A</t>
        </is>
      </c>
      <c r="M67" t="inlineStr">
        <is>
          <t>N/A</t>
        </is>
      </c>
      <c r="N67" t="inlineStr">
        <is>
          <t>N/A</t>
        </is>
      </c>
    </row>
    <row r="68">
      <c r="A68" t="inlineStr">
        <is>
          <t>M2</t>
        </is>
      </c>
      <c r="B68" t="inlineStr">
        <is>
          <t>Product output</t>
        </is>
      </c>
      <c r="C68" t="inlineStr">
        <is>
          <t>N/A</t>
        </is>
      </c>
      <c r="D68" t="inlineStr">
        <is>
          <t>N/A</t>
        </is>
      </c>
      <c r="E68" t="inlineStr">
        <is>
          <t>N/A</t>
        </is>
      </c>
      <c r="F68" t="inlineStr">
        <is>
          <t>N/A</t>
        </is>
      </c>
      <c r="G68" t="inlineStr">
        <is>
          <t>N/A</t>
        </is>
      </c>
      <c r="H68" t="inlineStr">
        <is>
          <t>N/A</t>
        </is>
      </c>
      <c r="I68" t="inlineStr">
        <is>
          <t>N/A</t>
        </is>
      </c>
      <c r="J68" t="inlineStr">
        <is>
          <t>N/A</t>
        </is>
      </c>
      <c r="K68" t="inlineStr">
        <is>
          <t>N/A</t>
        </is>
      </c>
      <c r="L68" t="inlineStr">
        <is>
          <t>N/A</t>
        </is>
      </c>
      <c r="M68" t="inlineStr">
        <is>
          <t>N/A</t>
        </is>
      </c>
      <c r="N68" t="inlineStr">
        <is>
          <t>N/A</t>
        </is>
      </c>
    </row>
    <row r="69">
      <c r="A69" t="inlineStr">
        <is>
          <t>M2</t>
        </is>
      </c>
      <c r="B69" t="inlineStr">
        <is>
          <t>Displaced-product burden (cradle-to-grave)</t>
        </is>
      </c>
      <c r="C69" t="inlineStr">
        <is>
          <t>N/A</t>
        </is>
      </c>
      <c r="D69" t="inlineStr">
        <is>
          <t>N/A</t>
        </is>
      </c>
      <c r="E69" t="inlineStr">
        <is>
          <t>N/A</t>
        </is>
      </c>
      <c r="F69" t="inlineStr">
        <is>
          <t>N/A</t>
        </is>
      </c>
      <c r="G69" t="inlineStr">
        <is>
          <t>N/A</t>
        </is>
      </c>
      <c r="H69" t="inlineStr">
        <is>
          <t>N/A</t>
        </is>
      </c>
      <c r="I69" t="inlineStr">
        <is>
          <t>N/A</t>
        </is>
      </c>
      <c r="J69" t="inlineStr">
        <is>
          <t>N/A</t>
        </is>
      </c>
      <c r="K69" t="inlineStr">
        <is>
          <t>N/A</t>
        </is>
      </c>
      <c r="L69" t="inlineStr">
        <is>
          <t>N/A</t>
        </is>
      </c>
      <c r="M69" t="inlineStr">
        <is>
          <t>N/A</t>
        </is>
      </c>
      <c r="N69" t="inlineStr">
        <is>
          <t>N/A</t>
        </is>
      </c>
    </row>
    <row r="70">
      <c r="A70" t="inlineStr">
        <is>
          <t>M2</t>
        </is>
      </c>
      <c r="B70" t="inlineStr">
        <is>
          <t>Product fossil-combustion charge</t>
        </is>
      </c>
      <c r="C70" t="inlineStr">
        <is>
          <t>N/A</t>
        </is>
      </c>
      <c r="D70" t="inlineStr">
        <is>
          <t>N/A</t>
        </is>
      </c>
      <c r="E70" t="inlineStr">
        <is>
          <t>N/A</t>
        </is>
      </c>
      <c r="F70" t="inlineStr">
        <is>
          <t>N/A</t>
        </is>
      </c>
      <c r="G70" t="inlineStr">
        <is>
          <t>N/A</t>
        </is>
      </c>
      <c r="H70" t="inlineStr">
        <is>
          <t>N/A</t>
        </is>
      </c>
      <c r="I70" t="inlineStr">
        <is>
          <t>N/A</t>
        </is>
      </c>
      <c r="J70" t="inlineStr">
        <is>
          <t>N/A</t>
        </is>
      </c>
      <c r="K70" t="inlineStr">
        <is>
          <t>N/A</t>
        </is>
      </c>
      <c r="L70" t="inlineStr">
        <is>
          <t>N/A</t>
        </is>
      </c>
      <c r="M70" t="inlineStr">
        <is>
          <t>N/A</t>
        </is>
      </c>
      <c r="N70" t="inlineStr">
        <is>
          <t>N/A</t>
        </is>
      </c>
    </row>
    <row r="71">
      <c r="A71" t="inlineStr">
        <is>
          <t>M2</t>
        </is>
      </c>
      <c r="B71" t="inlineStr">
        <is>
          <t>Diverted plastic carbon</t>
        </is>
      </c>
      <c r="C71" t="inlineStr">
        <is>
          <t>N/A</t>
        </is>
      </c>
      <c r="D71" t="inlineStr">
        <is>
          <t>N/A</t>
        </is>
      </c>
      <c r="E71" t="inlineStr">
        <is>
          <t>N/A</t>
        </is>
      </c>
      <c r="F71" t="inlineStr">
        <is>
          <t>N/A</t>
        </is>
      </c>
      <c r="G71" t="inlineStr">
        <is>
          <t>N/A</t>
        </is>
      </c>
      <c r="H71" t="inlineStr">
        <is>
          <t>N/A</t>
        </is>
      </c>
      <c r="I71" t="inlineStr">
        <is>
          <t>N/A</t>
        </is>
      </c>
      <c r="J71" t="inlineStr">
        <is>
          <t>N/A</t>
        </is>
      </c>
      <c r="K71" t="inlineStr">
        <is>
          <t>N/A</t>
        </is>
      </c>
      <c r="L71" t="inlineStr">
        <is>
          <t>N/A</t>
        </is>
      </c>
      <c r="M71" t="inlineStr">
        <is>
          <t>N/A</t>
        </is>
      </c>
      <c r="N71" t="inlineStr">
        <is>
          <t>N/A</t>
        </is>
      </c>
    </row>
    <row r="72">
      <c r="A72" t="inlineStr">
        <is>
          <t>M2</t>
        </is>
      </c>
      <c r="B72" t="inlineStr">
        <is>
          <t>Permanent geological storage</t>
        </is>
      </c>
      <c r="C72" t="inlineStr">
        <is>
          <t>S_fossil</t>
        </is>
      </c>
      <c r="D72" t="inlineStr">
        <is>
          <t>applies</t>
        </is>
      </c>
      <c r="E72" t="inlineStr">
        <is>
          <t>t-CO2/y</t>
        </is>
      </c>
      <c r="F72" t="inlineStr">
        <is>
          <t>already CO2</t>
        </is>
      </c>
      <c r="G72" t="inlineStr">
        <is>
          <t>t-CO2/y</t>
        </is>
      </c>
      <c r="H72" t="inlineStr">
        <is>
          <t>CARBON</t>
        </is>
      </c>
      <c r="I72" t="inlineStr">
        <is>
          <t>implicit: the retained fraction is simply never released, and is not credited a second time</t>
        </is>
      </c>
      <c r="J72" t="inlineStr">
        <is>
          <t>random through cr</t>
        </is>
      </c>
      <c r="K72" t="inlineStr">
        <is>
          <t>cr shared</t>
        </is>
      </c>
      <c r="L72" t="inlineStr">
        <is>
          <t>none</t>
        </is>
      </c>
      <c r="M72" t="inlineStr">
        <is>
          <t>n/a</t>
        </is>
      </c>
      <c r="N72" t="inlineStr">
        <is>
          <t>model</t>
        </is>
      </c>
    </row>
    <row r="73">
      <c r="A73" t="inlineStr">
        <is>
          <t>M2</t>
        </is>
      </c>
      <c r="B73" t="inlineStr">
        <is>
          <t>Temporary product storage</t>
        </is>
      </c>
      <c r="C73" t="inlineStr">
        <is>
          <t>N/A</t>
        </is>
      </c>
      <c r="D73" t="inlineStr">
        <is>
          <t>N/A</t>
        </is>
      </c>
      <c r="E73" t="inlineStr">
        <is>
          <t>N/A</t>
        </is>
      </c>
      <c r="F73" t="inlineStr">
        <is>
          <t>N/A</t>
        </is>
      </c>
      <c r="G73" t="inlineStr">
        <is>
          <t>N/A</t>
        </is>
      </c>
      <c r="H73" t="inlineStr">
        <is>
          <t>N/A</t>
        </is>
      </c>
      <c r="I73" t="inlineStr">
        <is>
          <t>N/A</t>
        </is>
      </c>
      <c r="J73" t="inlineStr">
        <is>
          <t>N/A</t>
        </is>
      </c>
      <c r="K73" t="inlineStr">
        <is>
          <t>N/A</t>
        </is>
      </c>
      <c r="L73" t="inlineStr">
        <is>
          <t>N/A</t>
        </is>
      </c>
      <c r="M73" t="inlineStr">
        <is>
          <t>N/A</t>
        </is>
      </c>
      <c r="N73" t="inlineStr">
        <is>
          <t>N/A</t>
        </is>
      </c>
    </row>
    <row r="74">
      <c r="A74" t="inlineStr">
        <is>
          <t>M2</t>
        </is>
      </c>
      <c r="B74" t="inlineStr">
        <is>
          <t>Final atmospheric release</t>
        </is>
      </c>
      <c r="C74" t="inlineStr">
        <is>
          <t>N/A</t>
        </is>
      </c>
      <c r="D74" t="inlineStr">
        <is>
          <t>N/A</t>
        </is>
      </c>
      <c r="E74" t="inlineStr">
        <is>
          <t>N/A</t>
        </is>
      </c>
      <c r="F74" t="inlineStr">
        <is>
          <t>N/A</t>
        </is>
      </c>
      <c r="G74" t="inlineStr">
        <is>
          <t>N/A</t>
        </is>
      </c>
      <c r="H74" t="inlineStr">
        <is>
          <t>N/A</t>
        </is>
      </c>
      <c r="I74" t="inlineStr">
        <is>
          <t>N/A</t>
        </is>
      </c>
      <c r="J74" t="inlineStr">
        <is>
          <t>N/A</t>
        </is>
      </c>
      <c r="K74" t="inlineStr">
        <is>
          <t>N/A</t>
        </is>
      </c>
      <c r="L74" t="inlineStr">
        <is>
          <t>N/A</t>
        </is>
      </c>
      <c r="M74" t="inlineStr">
        <is>
          <t>N/A</t>
        </is>
      </c>
      <c r="N74" t="inlineStr">
        <is>
          <t>N/A</t>
        </is>
      </c>
    </row>
    <row r="75">
      <c r="A75" t="inlineStr">
        <is>
          <t>M2</t>
        </is>
      </c>
      <c r="B75" t="inlineStr">
        <is>
          <t>Capture solvent burden (R1 explicit)</t>
        </is>
      </c>
      <c r="C75" t="inlineStr">
        <is>
          <t>R_p</t>
        </is>
      </c>
      <c r="D75" t="n">
        <v>1057.227651280685</v>
      </c>
      <c r="E75" t="inlineStr">
        <is>
          <t>t-CO2/y</t>
        </is>
      </c>
      <c r="F75" t="inlineStr">
        <is>
          <t>already CO2</t>
        </is>
      </c>
      <c r="G75" t="inlineStr">
        <is>
          <t>t-CO2/y</t>
        </is>
      </c>
      <c r="H75" t="inlineStr">
        <is>
          <t>CAP</t>
        </is>
      </c>
      <c r="I75" t="inlineStr">
        <is>
          <t>R_p x s_cap x m_reag</t>
        </is>
      </c>
      <c r="J75" t="inlineStr">
        <is>
          <t>random through m_reag</t>
        </is>
      </c>
      <c r="K75" t="inlineStr">
        <is>
          <t>m_reag shared by all capture pathways</t>
        </is>
      </c>
      <c r="L75" t="inlineStr">
        <is>
          <t>none</t>
        </is>
      </c>
      <c r="M75" t="inlineStr">
        <is>
          <t>+</t>
        </is>
      </c>
      <c r="N75" t="inlineStr">
        <is>
          <t>Bisinella et al. 2021, Table 4: 12 kg CO2-eq per t ww</t>
        </is>
      </c>
    </row>
    <row r="76">
      <c r="A76" t="inlineStr">
        <is>
          <t>M2</t>
        </is>
      </c>
      <c r="B76" t="inlineStr">
        <is>
          <t>Transport (R1 explicit: CO2 to storage / ore / slag / CO2 to synthesis)</t>
        </is>
      </c>
      <c r="C76" t="inlineStr">
        <is>
          <t>Tr_p</t>
        </is>
      </c>
      <c r="D76" t="n">
        <v>8037.263771955555</v>
      </c>
      <c r="E76" t="inlineStr">
        <is>
          <t>t-CO2/y</t>
        </is>
      </c>
      <c r="F76" t="inlineStr">
        <is>
          <t>already CO2</t>
        </is>
      </c>
      <c r="G76" t="inlineStr">
        <is>
          <t>t-CO2/y</t>
        </is>
      </c>
      <c r="H76" t="inlineStr">
        <is>
          <t>CAP</t>
        </is>
      </c>
      <c r="I76" t="inlineStr">
        <is>
          <t>Tr_p x s_cap x m_trans</t>
        </is>
      </c>
      <c r="J76" t="inlineStr">
        <is>
          <t>random through m_trans</t>
        </is>
      </c>
      <c r="K76" t="inlineStr">
        <is>
          <t>m_trans shared within capture family</t>
        </is>
      </c>
      <c r="L76" t="inlineStr">
        <is>
          <t>none</t>
        </is>
      </c>
      <c r="M76" t="inlineStr">
        <is>
          <t>+</t>
        </is>
      </c>
      <c r="N76" t="inlineStr">
        <is>
          <t>G: Bisinella et al. 2021 Section 2.4; M: source workbook t-km; U: source workbook</t>
        </is>
      </c>
    </row>
    <row r="77">
      <c r="A77" t="inlineStr">
        <is>
          <t>M2</t>
        </is>
      </c>
      <c r="B77" t="inlineStr">
        <is>
          <t>Product transport</t>
        </is>
      </c>
      <c r="C77" t="inlineStr">
        <is>
          <t>N/A</t>
        </is>
      </c>
      <c r="D77" t="inlineStr">
        <is>
          <t>N/A</t>
        </is>
      </c>
      <c r="E77" t="inlineStr">
        <is>
          <t>N/A</t>
        </is>
      </c>
      <c r="F77" t="inlineStr">
        <is>
          <t>N/A</t>
        </is>
      </c>
      <c r="G77" t="inlineStr">
        <is>
          <t>N/A</t>
        </is>
      </c>
      <c r="H77" t="inlineStr">
        <is>
          <t>N/A</t>
        </is>
      </c>
      <c r="I77" t="inlineStr">
        <is>
          <t>N/A</t>
        </is>
      </c>
      <c r="J77" t="inlineStr">
        <is>
          <t>N/A</t>
        </is>
      </c>
      <c r="K77" t="inlineStr">
        <is>
          <t>N/A</t>
        </is>
      </c>
      <c r="L77" t="inlineStr">
        <is>
          <t>N/A</t>
        </is>
      </c>
      <c r="M77" t="inlineStr">
        <is>
          <t>N/A</t>
        </is>
      </c>
      <c r="N77" t="inlineStr">
        <is>
          <t>N/A</t>
        </is>
      </c>
    </row>
    <row r="78">
      <c r="A78" t="inlineStr">
        <is>
          <t>M2</t>
        </is>
      </c>
      <c r="B78" t="inlineStr">
        <is>
          <t>Capital-related burdens</t>
        </is>
      </c>
      <c r="C78" t="inlineStr">
        <is>
          <t>C_cap</t>
        </is>
      </c>
      <c r="D78" t="inlineStr">
        <is>
          <t>inside residual</t>
        </is>
      </c>
      <c r="E78" t="inlineStr">
        <is>
          <t>t-CO2/y</t>
        </is>
      </c>
      <c r="F78" t="inlineStr">
        <is>
          <t>annualised</t>
        </is>
      </c>
      <c r="G78" t="inlineStr">
        <is>
          <t>t-CO2/y</t>
        </is>
      </c>
      <c r="H78" t="inlineStr">
        <is>
          <t>RESIDUAL</t>
        </is>
      </c>
      <c r="I78" t="inlineStr">
        <is>
          <t>annualised, held at its national value, x m_rem</t>
        </is>
      </c>
      <c r="J78" t="inlineStr">
        <is>
          <t>random through m_rem</t>
        </is>
      </c>
      <c r="K78" t="inlineStr">
        <is>
          <t>pathway-specific</t>
        </is>
      </c>
      <c r="L78" t="inlineStr">
        <is>
          <t>none</t>
        </is>
      </c>
      <c r="M78" t="inlineStr">
        <is>
          <t>+</t>
        </is>
      </c>
      <c r="N78" t="inlineStr">
        <is>
          <t>calibrated remainder</t>
        </is>
      </c>
    </row>
    <row r="79">
      <c r="A79" t="inlineStr">
        <is>
          <t>M2</t>
        </is>
      </c>
      <c r="B79" t="inlineStr">
        <is>
          <t>Calibrated residual, total</t>
        </is>
      </c>
      <c r="C79" t="inlineStr">
        <is>
          <t>C_p</t>
        </is>
      </c>
      <c r="D79" t="n">
        <v>16413.91</v>
      </c>
      <c r="E79" t="inlineStr">
        <is>
          <t>t-CO2/y</t>
        </is>
      </c>
      <c r="F79" t="inlineStr">
        <is>
          <t>already CO2</t>
        </is>
      </c>
      <c r="G79" t="inlineStr">
        <is>
          <t>t-CO2/y</t>
        </is>
      </c>
      <c r="H79" t="inlineStr">
        <is>
          <t>RESIDUAL</t>
        </is>
      </c>
      <c r="I79" t="inlineStr">
        <is>
          <t>C_p x m_rem</t>
        </is>
      </c>
      <c r="J79" t="inlineStr">
        <is>
          <t>random through m_rem</t>
        </is>
      </c>
      <c r="K79" t="inlineStr">
        <is>
          <t>pathway-specific</t>
        </is>
      </c>
      <c r="L79" t="inlineStr">
        <is>
          <t>shifts with the anchor under B</t>
        </is>
      </c>
      <c r="M79" t="inlineStr">
        <is>
          <t>+/-</t>
        </is>
      </c>
      <c r="N79" t="inlineStr">
        <is>
          <t>verified national value minus the explicit groups</t>
        </is>
      </c>
    </row>
    <row r="80">
      <c r="A80" t="inlineStr">
        <is>
          <t>M3</t>
        </is>
      </c>
      <c r="B80" t="inlineStr">
        <is>
          <t>Plant auxiliary electricity</t>
        </is>
      </c>
      <c r="C80" t="inlineStr">
        <is>
          <t>E_aux</t>
        </is>
      </c>
      <c r="D80" t="n">
        <v>24360</v>
      </c>
      <c r="E80" t="inlineStr">
        <is>
          <t>MWh/y</t>
        </is>
      </c>
      <c r="F80" t="inlineStr">
        <is>
          <t>EF</t>
        </is>
      </c>
      <c r="G80" t="inlineStr">
        <is>
          <t>t-CO2/y</t>
        </is>
      </c>
      <c r="H80" t="inlineStr">
        <is>
          <t>FIXED</t>
        </is>
      </c>
      <c r="I80" t="inlineStr">
        <is>
          <t>E_aux x EF</t>
        </is>
      </c>
      <c r="J80" t="inlineStr">
        <is>
          <t>random through EF</t>
        </is>
      </c>
      <c r="K80" t="inlineStr">
        <is>
          <t>EF shared by all pathways</t>
        </is>
      </c>
      <c r="L80" t="inlineStr">
        <is>
          <t>none</t>
        </is>
      </c>
      <c r="M80" t="inlineStr">
        <is>
          <t>+</t>
        </is>
      </c>
      <c r="N80" t="inlineStr">
        <is>
          <t>harmonised inventory</t>
        </is>
      </c>
    </row>
    <row r="81">
      <c r="A81" t="inlineStr">
        <is>
          <t>M3</t>
        </is>
      </c>
      <c r="B81" t="inlineStr">
        <is>
          <t>Baseline electricity export</t>
        </is>
      </c>
      <c r="C81" t="inlineStr">
        <is>
          <t>E_exp_base</t>
        </is>
      </c>
      <c r="D81" t="n">
        <v>-43207</v>
      </c>
      <c r="E81" t="inlineStr">
        <is>
          <t>MWh/y</t>
        </is>
      </c>
      <c r="F81" t="inlineStr">
        <is>
          <t>EF</t>
        </is>
      </c>
      <c r="G81" t="inlineStr">
        <is>
          <t>t-CO2/y</t>
        </is>
      </c>
      <c r="H81" t="inlineStr">
        <is>
          <t>FIXED</t>
        </is>
      </c>
      <c r="I81" t="inlineStr">
        <is>
          <t>minus E_exp_base x EF</t>
        </is>
      </c>
      <c r="J81" t="inlineStr">
        <is>
          <t>random through EF</t>
        </is>
      </c>
      <c r="K81" t="inlineStr">
        <is>
          <t>EF shared by all pathways</t>
        </is>
      </c>
      <c r="L81" t="inlineStr">
        <is>
          <t>none</t>
        </is>
      </c>
      <c r="M81" t="inlineStr">
        <is>
          <t>-</t>
        </is>
      </c>
      <c r="N81" t="inlineStr">
        <is>
          <t>harmonised inventory</t>
        </is>
      </c>
    </row>
    <row r="82">
      <c r="A82" t="inlineStr">
        <is>
          <t>M3</t>
        </is>
      </c>
      <c r="B82" t="inlineStr">
        <is>
          <t>Steam generation burden</t>
        </is>
      </c>
      <c r="C82" t="inlineStr">
        <is>
          <t>n/a</t>
        </is>
      </c>
      <c r="D82" t="inlineStr">
        <is>
          <t>not separate</t>
        </is>
      </c>
      <c r="E82" t="inlineStr">
        <is>
          <t>MWh/y</t>
        </is>
      </c>
      <c r="F82" t="inlineStr">
        <is>
          <t>n/a</t>
        </is>
      </c>
      <c r="G82" t="inlineStr">
        <is>
          <t>t-CO2/y</t>
        </is>
      </c>
      <c r="H82" t="inlineStr">
        <is>
          <t>FIXED</t>
        </is>
      </c>
      <c r="I82" t="inlineStr">
        <is>
          <t>inside E_exp_base; same waste tonnage in every region</t>
        </is>
      </c>
      <c r="J82" t="inlineStr">
        <is>
          <t>deterministic</t>
        </is>
      </c>
      <c r="K82" t="inlineStr">
        <is>
          <t>shared by all pathways</t>
        </is>
      </c>
      <c r="L82" t="inlineStr">
        <is>
          <t>none</t>
        </is>
      </c>
      <c r="M82" t="inlineStr">
        <is>
          <t>n/a</t>
        </is>
      </c>
      <c r="N82" t="inlineStr">
        <is>
          <t>harmonised inventory</t>
        </is>
      </c>
    </row>
    <row r="83">
      <c r="A83" t="inlineStr">
        <is>
          <t>M3</t>
        </is>
      </c>
      <c r="B83" t="inlineStr">
        <is>
          <t>Steam-extraction export penalty</t>
        </is>
      </c>
      <c r="C83" t="inlineStr">
        <is>
          <t>P_steam</t>
        </is>
      </c>
      <c r="D83" t="n">
        <v>13087</v>
      </c>
      <c r="E83" t="inlineStr">
        <is>
          <t>MWh/y</t>
        </is>
      </c>
      <c r="F83" t="inlineStr">
        <is>
          <t>EF</t>
        </is>
      </c>
      <c r="G83" t="inlineStr">
        <is>
          <t>t-CO2/y</t>
        </is>
      </c>
      <c r="H83" t="inlineStr">
        <is>
          <t>CAP</t>
        </is>
      </c>
      <c r="I83" t="inlineStr">
        <is>
          <t>P_steam x s_cap x EF</t>
        </is>
      </c>
      <c r="J83" t="inlineStr">
        <is>
          <t>random through EF and cr</t>
        </is>
      </c>
      <c r="K83" t="inlineStr">
        <is>
          <t>EF and cr shared</t>
        </is>
      </c>
      <c r="L83" t="inlineStr">
        <is>
          <t>none</t>
        </is>
      </c>
      <c r="M83" t="inlineStr">
        <is>
          <t>+</t>
        </is>
      </c>
      <c r="N83" t="inlineStr">
        <is>
          <t>E_exp_base minus E_exp_cc</t>
        </is>
      </c>
    </row>
    <row r="84">
      <c r="A84" t="inlineStr">
        <is>
          <t>M3</t>
        </is>
      </c>
      <c r="B84" t="inlineStr">
        <is>
          <t>Capture electricity</t>
        </is>
      </c>
      <c r="C84" t="inlineStr">
        <is>
          <t>E_proc part</t>
        </is>
      </c>
      <c r="D84" t="inlineStr">
        <is>
          <t>inside E_proc</t>
        </is>
      </c>
      <c r="E84" t="inlineStr">
        <is>
          <t>MWh/y</t>
        </is>
      </c>
      <c r="F84" t="inlineStr">
        <is>
          <t>EF</t>
        </is>
      </c>
      <c r="G84" t="inlineStr">
        <is>
          <t>t-CO2/y</t>
        </is>
      </c>
      <c r="H84" t="inlineStr">
        <is>
          <t>CAP</t>
        </is>
      </c>
      <c r="I84" t="inlineStr">
        <is>
          <t>E_proc x s_cap x EF x m_el</t>
        </is>
      </c>
      <c r="J84" t="inlineStr">
        <is>
          <t>random</t>
        </is>
      </c>
      <c r="K84" t="inlineStr">
        <is>
          <t>m_el shared within family</t>
        </is>
      </c>
      <c r="L84" t="inlineStr">
        <is>
          <t>none</t>
        </is>
      </c>
      <c r="M84" t="inlineStr">
        <is>
          <t>+</t>
        </is>
      </c>
      <c r="N84" t="inlineStr">
        <is>
          <t>harmonised inventory</t>
        </is>
      </c>
    </row>
    <row r="85">
      <c r="A85" t="inlineStr">
        <is>
          <t>M3</t>
        </is>
      </c>
      <c r="B85" t="inlineStr">
        <is>
          <t>CO2 compression electricity</t>
        </is>
      </c>
      <c r="C85" t="inlineStr">
        <is>
          <t>E_proc part</t>
        </is>
      </c>
      <c r="D85" t="inlineStr">
        <is>
          <t>inside E_proc</t>
        </is>
      </c>
      <c r="E85" t="inlineStr">
        <is>
          <t>MWh/y</t>
        </is>
      </c>
      <c r="F85" t="inlineStr">
        <is>
          <t>EF</t>
        </is>
      </c>
      <c r="G85" t="inlineStr">
        <is>
          <t>t-CO2/y</t>
        </is>
      </c>
      <c r="H85" t="inlineStr">
        <is>
          <t>CAP</t>
        </is>
      </c>
      <c r="I85" t="inlineStr">
        <is>
          <t>E_proc x s_cap x EF x m_el</t>
        </is>
      </c>
      <c r="J85" t="inlineStr">
        <is>
          <t>random</t>
        </is>
      </c>
      <c r="K85" t="inlineStr">
        <is>
          <t>m_el shared within family</t>
        </is>
      </c>
      <c r="L85" t="inlineStr">
        <is>
          <t>none</t>
        </is>
      </c>
      <c r="M85" t="inlineStr">
        <is>
          <t>+</t>
        </is>
      </c>
      <c r="N85" t="inlineStr">
        <is>
          <t>harmonised inventory</t>
        </is>
      </c>
    </row>
    <row r="86">
      <c r="A86" t="inlineStr">
        <is>
          <t>M3</t>
        </is>
      </c>
      <c r="B86" t="inlineStr">
        <is>
          <t>Conversion electricity</t>
        </is>
      </c>
      <c r="C86" t="inlineStr">
        <is>
          <t>E_proc part</t>
        </is>
      </c>
      <c r="D86" t="inlineStr">
        <is>
          <t>inside E_proc</t>
        </is>
      </c>
      <c r="E86" t="inlineStr">
        <is>
          <t>MWh/y</t>
        </is>
      </c>
      <c r="F86" t="inlineStr">
        <is>
          <t>EF</t>
        </is>
      </c>
      <c r="G86" t="inlineStr">
        <is>
          <t>t-CO2/y</t>
        </is>
      </c>
      <c r="H86" t="inlineStr">
        <is>
          <t>CAP</t>
        </is>
      </c>
      <c r="I86" t="inlineStr">
        <is>
          <t>E_proc x s_cap x EF x m_el</t>
        </is>
      </c>
      <c r="J86" t="inlineStr">
        <is>
          <t>random</t>
        </is>
      </c>
      <c r="K86" t="inlineStr">
        <is>
          <t>m_el shared within family</t>
        </is>
      </c>
      <c r="L86" t="inlineStr">
        <is>
          <t>none</t>
        </is>
      </c>
      <c r="M86" t="inlineStr">
        <is>
          <t>+</t>
        </is>
      </c>
      <c r="N86" t="inlineStr">
        <is>
          <t>harmonised inventory</t>
        </is>
      </c>
    </row>
    <row r="87">
      <c r="A87" t="inlineStr">
        <is>
          <t>M3</t>
        </is>
      </c>
      <c r="B87" t="inlineStr">
        <is>
          <t>Total capture, compression and conversion electricity</t>
        </is>
      </c>
      <c r="C87" t="inlineStr">
        <is>
          <t>E_proc</t>
        </is>
      </c>
      <c r="D87" t="n">
        <v>17762.32597562355</v>
      </c>
      <c r="E87" t="inlineStr">
        <is>
          <t>MWh/y</t>
        </is>
      </c>
      <c r="F87" t="inlineStr">
        <is>
          <t>EF</t>
        </is>
      </c>
      <c r="G87" t="inlineStr">
        <is>
          <t>t-CO2/y</t>
        </is>
      </c>
      <c r="H87" t="inlineStr">
        <is>
          <t>CAP</t>
        </is>
      </c>
      <c r="I87" t="inlineStr">
        <is>
          <t>E_proc x s_cap x EF x m_el</t>
        </is>
      </c>
      <c r="J87" t="inlineStr">
        <is>
          <t>random</t>
        </is>
      </c>
      <c r="K87" t="inlineStr">
        <is>
          <t>m_el shared within family</t>
        </is>
      </c>
      <c r="L87" t="inlineStr">
        <is>
          <t>none</t>
        </is>
      </c>
      <c r="M87" t="inlineStr">
        <is>
          <t>+</t>
        </is>
      </c>
      <c r="N87" t="inlineStr">
        <is>
          <t>harmonised inventory</t>
        </is>
      </c>
    </row>
    <row r="88">
      <c r="A88" t="inlineStr">
        <is>
          <t>M3</t>
        </is>
      </c>
      <c r="B88" t="inlineStr">
        <is>
          <t>Pyrolysis electricity</t>
        </is>
      </c>
      <c r="C88" t="inlineStr">
        <is>
          <t>N/A</t>
        </is>
      </c>
      <c r="D88" t="inlineStr">
        <is>
          <t>N/A</t>
        </is>
      </c>
      <c r="E88" t="inlineStr">
        <is>
          <t>N/A</t>
        </is>
      </c>
      <c r="F88" t="inlineStr">
        <is>
          <t>N/A</t>
        </is>
      </c>
      <c r="G88" t="inlineStr">
        <is>
          <t>N/A</t>
        </is>
      </c>
      <c r="H88" t="inlineStr">
        <is>
          <t>N/A</t>
        </is>
      </c>
      <c r="I88" t="inlineStr">
        <is>
          <t>N/A</t>
        </is>
      </c>
      <c r="J88" t="inlineStr">
        <is>
          <t>N/A</t>
        </is>
      </c>
      <c r="K88" t="inlineStr">
        <is>
          <t>N/A</t>
        </is>
      </c>
      <c r="L88" t="inlineStr">
        <is>
          <t>N/A</t>
        </is>
      </c>
      <c r="M88" t="inlineStr">
        <is>
          <t>N/A</t>
        </is>
      </c>
      <c r="N88" t="inlineStr">
        <is>
          <t>N/A</t>
        </is>
      </c>
    </row>
    <row r="89">
      <c r="A89" t="inlineStr">
        <is>
          <t>M3</t>
        </is>
      </c>
      <c r="B89" t="inlineStr">
        <is>
          <t>Hydrogen demand</t>
        </is>
      </c>
      <c r="C89" t="inlineStr">
        <is>
          <t>N/A</t>
        </is>
      </c>
      <c r="D89" t="inlineStr">
        <is>
          <t>N/A</t>
        </is>
      </c>
      <c r="E89" t="inlineStr">
        <is>
          <t>N/A</t>
        </is>
      </c>
      <c r="F89" t="inlineStr">
        <is>
          <t>N/A</t>
        </is>
      </c>
      <c r="G89" t="inlineStr">
        <is>
          <t>N/A</t>
        </is>
      </c>
      <c r="H89" t="inlineStr">
        <is>
          <t>N/A</t>
        </is>
      </c>
      <c r="I89" t="inlineStr">
        <is>
          <t>N/A</t>
        </is>
      </c>
      <c r="J89" t="inlineStr">
        <is>
          <t>N/A</t>
        </is>
      </c>
      <c r="K89" t="inlineStr">
        <is>
          <t>N/A</t>
        </is>
      </c>
      <c r="L89" t="inlineStr">
        <is>
          <t>N/A</t>
        </is>
      </c>
      <c r="M89" t="inlineStr">
        <is>
          <t>N/A</t>
        </is>
      </c>
      <c r="N89" t="inlineStr">
        <is>
          <t>N/A</t>
        </is>
      </c>
    </row>
    <row r="90">
      <c r="A90" t="inlineStr">
        <is>
          <t>M3</t>
        </is>
      </c>
      <c r="B90" t="inlineStr">
        <is>
          <t>Direct fossil-carbon emission</t>
        </is>
      </c>
      <c r="C90" t="inlineStr">
        <is>
          <t>F</t>
        </is>
      </c>
      <c r="D90" t="n">
        <v>26475.1872</v>
      </c>
      <c r="E90" t="inlineStr">
        <is>
          <t>t-CO2/y</t>
        </is>
      </c>
      <c r="F90" t="inlineStr">
        <is>
          <t>already CO2</t>
        </is>
      </c>
      <c r="G90" t="inlineStr">
        <is>
          <t>t-CO2/y</t>
        </is>
      </c>
      <c r="H90" t="inlineStr">
        <is>
          <t>CARBON</t>
        </is>
      </c>
      <c r="I90" t="inlineStr">
        <is>
          <t>enters phi; see the carbon-flow rows below</t>
        </is>
      </c>
      <c r="J90" t="inlineStr">
        <is>
          <t>random</t>
        </is>
      </c>
      <c r="K90" t="inlineStr">
        <is>
          <t>F shared by all pathways</t>
        </is>
      </c>
      <c r="L90" t="inlineStr">
        <is>
          <t>none</t>
        </is>
      </c>
      <c r="M90" t="inlineStr">
        <is>
          <t>+</t>
        </is>
      </c>
      <c r="N90" t="inlineStr">
        <is>
          <t>national waste survey</t>
        </is>
      </c>
    </row>
    <row r="91">
      <c r="A91" t="inlineStr">
        <is>
          <t>M3</t>
        </is>
      </c>
      <c r="B91" t="inlineStr">
        <is>
          <t>Uncaptured fossil fraction</t>
        </is>
      </c>
      <c r="C91" t="inlineStr">
        <is>
          <t>(1-cr) F</t>
        </is>
      </c>
      <c r="D91" t="inlineStr">
        <is>
          <t>applies</t>
        </is>
      </c>
      <c r="E91" t="inlineStr">
        <is>
          <t>t-CO2/y</t>
        </is>
      </c>
      <c r="F91" t="inlineStr">
        <is>
          <t>already CO2</t>
        </is>
      </c>
      <c r="G91" t="inlineStr">
        <is>
          <t>t-CO2/y</t>
        </is>
      </c>
      <c r="H91" t="inlineStr">
        <is>
          <t>CARBON</t>
        </is>
      </c>
      <c r="I91" t="inlineStr">
        <is>
          <t>(1 - cr) x F, charged exactly once</t>
        </is>
      </c>
      <c r="J91" t="inlineStr">
        <is>
          <t>random through cr</t>
        </is>
      </c>
      <c r="K91" t="inlineStr">
        <is>
          <t>cr shared by capture pathways</t>
        </is>
      </c>
      <c r="L91" t="inlineStr">
        <is>
          <t>none</t>
        </is>
      </c>
      <c r="M91" t="inlineStr">
        <is>
          <t>+</t>
        </is>
      </c>
      <c r="N91" t="inlineStr">
        <is>
          <t>model</t>
        </is>
      </c>
    </row>
    <row r="92">
      <c r="A92" t="inlineStr">
        <is>
          <t>M3</t>
        </is>
      </c>
      <c r="B92" t="inlineStr">
        <is>
          <t>Mineralization reactor loss</t>
        </is>
      </c>
      <c r="C92" t="inlineStr">
        <is>
          <t>L_R,p</t>
        </is>
      </c>
      <c r="D92" t="n">
        <v>7428.919742030769</v>
      </c>
      <c r="E92" t="inlineStr">
        <is>
          <t>t-CO2/y</t>
        </is>
      </c>
      <c r="F92" t="inlineStr">
        <is>
          <t>already CO2</t>
        </is>
      </c>
      <c r="G92" t="inlineStr">
        <is>
          <t>t-CO2/y</t>
        </is>
      </c>
      <c r="H92" t="inlineStr">
        <is>
          <t>CAP</t>
        </is>
      </c>
      <c r="I92" t="inlineStr">
        <is>
          <t>L_R x s_cap x f, inside phi (f = F / T, fossil share)</t>
        </is>
      </c>
      <c r="J92" t="inlineStr">
        <is>
          <t>random</t>
        </is>
      </c>
      <c r="K92" t="inlineStr">
        <is>
          <t>pathway-specific</t>
        </is>
      </c>
      <c r="L92" t="inlineStr">
        <is>
          <t>none</t>
        </is>
      </c>
      <c r="M92" t="inlineStr">
        <is>
          <t>+</t>
        </is>
      </c>
      <c r="N92" t="inlineStr">
        <is>
          <t>source workbook, reactor loss only</t>
        </is>
      </c>
    </row>
    <row r="93">
      <c r="A93" t="inlineStr">
        <is>
          <t>M3</t>
        </is>
      </c>
      <c r="B93" t="inlineStr">
        <is>
          <t>CCU process vent</t>
        </is>
      </c>
      <c r="C93" t="inlineStr">
        <is>
          <t>N/A</t>
        </is>
      </c>
      <c r="D93" t="inlineStr">
        <is>
          <t>N/A</t>
        </is>
      </c>
      <c r="E93" t="inlineStr">
        <is>
          <t>N/A</t>
        </is>
      </c>
      <c r="F93" t="inlineStr">
        <is>
          <t>N/A</t>
        </is>
      </c>
      <c r="G93" t="inlineStr">
        <is>
          <t>N/A</t>
        </is>
      </c>
      <c r="H93" t="inlineStr">
        <is>
          <t>N/A</t>
        </is>
      </c>
      <c r="I93" t="inlineStr">
        <is>
          <t>N/A</t>
        </is>
      </c>
      <c r="J93" t="inlineStr">
        <is>
          <t>N/A</t>
        </is>
      </c>
      <c r="K93" t="inlineStr">
        <is>
          <t>N/A</t>
        </is>
      </c>
      <c r="L93" t="inlineStr">
        <is>
          <t>N/A</t>
        </is>
      </c>
      <c r="M93" t="inlineStr">
        <is>
          <t>N/A</t>
        </is>
      </c>
      <c r="N93" t="inlineStr">
        <is>
          <t>N/A</t>
        </is>
      </c>
    </row>
    <row r="94">
      <c r="A94" t="inlineStr">
        <is>
          <t>M3</t>
        </is>
      </c>
      <c r="B94" t="inlineStr">
        <is>
          <t>Product output</t>
        </is>
      </c>
      <c r="C94" t="inlineStr">
        <is>
          <t>N/A</t>
        </is>
      </c>
      <c r="D94" t="inlineStr">
        <is>
          <t>N/A</t>
        </is>
      </c>
      <c r="E94" t="inlineStr">
        <is>
          <t>N/A</t>
        </is>
      </c>
      <c r="F94" t="inlineStr">
        <is>
          <t>N/A</t>
        </is>
      </c>
      <c r="G94" t="inlineStr">
        <is>
          <t>N/A</t>
        </is>
      </c>
      <c r="H94" t="inlineStr">
        <is>
          <t>N/A</t>
        </is>
      </c>
      <c r="I94" t="inlineStr">
        <is>
          <t>N/A</t>
        </is>
      </c>
      <c r="J94" t="inlineStr">
        <is>
          <t>N/A</t>
        </is>
      </c>
      <c r="K94" t="inlineStr">
        <is>
          <t>N/A</t>
        </is>
      </c>
      <c r="L94" t="inlineStr">
        <is>
          <t>N/A</t>
        </is>
      </c>
      <c r="M94" t="inlineStr">
        <is>
          <t>N/A</t>
        </is>
      </c>
      <c r="N94" t="inlineStr">
        <is>
          <t>N/A</t>
        </is>
      </c>
    </row>
    <row r="95">
      <c r="A95" t="inlineStr">
        <is>
          <t>M3</t>
        </is>
      </c>
      <c r="B95" t="inlineStr">
        <is>
          <t>Displaced-product burden (cradle-to-grave)</t>
        </is>
      </c>
      <c r="C95" t="inlineStr">
        <is>
          <t>N/A</t>
        </is>
      </c>
      <c r="D95" t="inlineStr">
        <is>
          <t>N/A</t>
        </is>
      </c>
      <c r="E95" t="inlineStr">
        <is>
          <t>N/A</t>
        </is>
      </c>
      <c r="F95" t="inlineStr">
        <is>
          <t>N/A</t>
        </is>
      </c>
      <c r="G95" t="inlineStr">
        <is>
          <t>N/A</t>
        </is>
      </c>
      <c r="H95" t="inlineStr">
        <is>
          <t>N/A</t>
        </is>
      </c>
      <c r="I95" t="inlineStr">
        <is>
          <t>N/A</t>
        </is>
      </c>
      <c r="J95" t="inlineStr">
        <is>
          <t>N/A</t>
        </is>
      </c>
      <c r="K95" t="inlineStr">
        <is>
          <t>N/A</t>
        </is>
      </c>
      <c r="L95" t="inlineStr">
        <is>
          <t>N/A</t>
        </is>
      </c>
      <c r="M95" t="inlineStr">
        <is>
          <t>N/A</t>
        </is>
      </c>
      <c r="N95" t="inlineStr">
        <is>
          <t>N/A</t>
        </is>
      </c>
    </row>
    <row r="96">
      <c r="A96" t="inlineStr">
        <is>
          <t>M3</t>
        </is>
      </c>
      <c r="B96" t="inlineStr">
        <is>
          <t>Product fossil-combustion charge</t>
        </is>
      </c>
      <c r="C96" t="inlineStr">
        <is>
          <t>N/A</t>
        </is>
      </c>
      <c r="D96" t="inlineStr">
        <is>
          <t>N/A</t>
        </is>
      </c>
      <c r="E96" t="inlineStr">
        <is>
          <t>N/A</t>
        </is>
      </c>
      <c r="F96" t="inlineStr">
        <is>
          <t>N/A</t>
        </is>
      </c>
      <c r="G96" t="inlineStr">
        <is>
          <t>N/A</t>
        </is>
      </c>
      <c r="H96" t="inlineStr">
        <is>
          <t>N/A</t>
        </is>
      </c>
      <c r="I96" t="inlineStr">
        <is>
          <t>N/A</t>
        </is>
      </c>
      <c r="J96" t="inlineStr">
        <is>
          <t>N/A</t>
        </is>
      </c>
      <c r="K96" t="inlineStr">
        <is>
          <t>N/A</t>
        </is>
      </c>
      <c r="L96" t="inlineStr">
        <is>
          <t>N/A</t>
        </is>
      </c>
      <c r="M96" t="inlineStr">
        <is>
          <t>N/A</t>
        </is>
      </c>
      <c r="N96" t="inlineStr">
        <is>
          <t>N/A</t>
        </is>
      </c>
    </row>
    <row r="97">
      <c r="A97" t="inlineStr">
        <is>
          <t>M3</t>
        </is>
      </c>
      <c r="B97" t="inlineStr">
        <is>
          <t>Diverted plastic carbon</t>
        </is>
      </c>
      <c r="C97" t="inlineStr">
        <is>
          <t>N/A</t>
        </is>
      </c>
      <c r="D97" t="inlineStr">
        <is>
          <t>N/A</t>
        </is>
      </c>
      <c r="E97" t="inlineStr">
        <is>
          <t>N/A</t>
        </is>
      </c>
      <c r="F97" t="inlineStr">
        <is>
          <t>N/A</t>
        </is>
      </c>
      <c r="G97" t="inlineStr">
        <is>
          <t>N/A</t>
        </is>
      </c>
      <c r="H97" t="inlineStr">
        <is>
          <t>N/A</t>
        </is>
      </c>
      <c r="I97" t="inlineStr">
        <is>
          <t>N/A</t>
        </is>
      </c>
      <c r="J97" t="inlineStr">
        <is>
          <t>N/A</t>
        </is>
      </c>
      <c r="K97" t="inlineStr">
        <is>
          <t>N/A</t>
        </is>
      </c>
      <c r="L97" t="inlineStr">
        <is>
          <t>N/A</t>
        </is>
      </c>
      <c r="M97" t="inlineStr">
        <is>
          <t>N/A</t>
        </is>
      </c>
      <c r="N97" t="inlineStr">
        <is>
          <t>N/A</t>
        </is>
      </c>
    </row>
    <row r="98">
      <c r="A98" t="inlineStr">
        <is>
          <t>M3</t>
        </is>
      </c>
      <c r="B98" t="inlineStr">
        <is>
          <t>Permanent geological storage</t>
        </is>
      </c>
      <c r="C98" t="inlineStr">
        <is>
          <t>S_fossil</t>
        </is>
      </c>
      <c r="D98" t="inlineStr">
        <is>
          <t>applies</t>
        </is>
      </c>
      <c r="E98" t="inlineStr">
        <is>
          <t>t-CO2/y</t>
        </is>
      </c>
      <c r="F98" t="inlineStr">
        <is>
          <t>already CO2</t>
        </is>
      </c>
      <c r="G98" t="inlineStr">
        <is>
          <t>t-CO2/y</t>
        </is>
      </c>
      <c r="H98" t="inlineStr">
        <is>
          <t>CARBON</t>
        </is>
      </c>
      <c r="I98" t="inlineStr">
        <is>
          <t>implicit: the retained fraction is simply never released, and is not credited a second time</t>
        </is>
      </c>
      <c r="J98" t="inlineStr">
        <is>
          <t>random through cr</t>
        </is>
      </c>
      <c r="K98" t="inlineStr">
        <is>
          <t>cr shared</t>
        </is>
      </c>
      <c r="L98" t="inlineStr">
        <is>
          <t>none</t>
        </is>
      </c>
      <c r="M98" t="inlineStr">
        <is>
          <t>n/a</t>
        </is>
      </c>
      <c r="N98" t="inlineStr">
        <is>
          <t>model</t>
        </is>
      </c>
    </row>
    <row r="99">
      <c r="A99" t="inlineStr">
        <is>
          <t>M3</t>
        </is>
      </c>
      <c r="B99" t="inlineStr">
        <is>
          <t>Temporary product storage</t>
        </is>
      </c>
      <c r="C99" t="inlineStr">
        <is>
          <t>N/A</t>
        </is>
      </c>
      <c r="D99" t="inlineStr">
        <is>
          <t>N/A</t>
        </is>
      </c>
      <c r="E99" t="inlineStr">
        <is>
          <t>N/A</t>
        </is>
      </c>
      <c r="F99" t="inlineStr">
        <is>
          <t>N/A</t>
        </is>
      </c>
      <c r="G99" t="inlineStr">
        <is>
          <t>N/A</t>
        </is>
      </c>
      <c r="H99" t="inlineStr">
        <is>
          <t>N/A</t>
        </is>
      </c>
      <c r="I99" t="inlineStr">
        <is>
          <t>N/A</t>
        </is>
      </c>
      <c r="J99" t="inlineStr">
        <is>
          <t>N/A</t>
        </is>
      </c>
      <c r="K99" t="inlineStr">
        <is>
          <t>N/A</t>
        </is>
      </c>
      <c r="L99" t="inlineStr">
        <is>
          <t>N/A</t>
        </is>
      </c>
      <c r="M99" t="inlineStr">
        <is>
          <t>N/A</t>
        </is>
      </c>
      <c r="N99" t="inlineStr">
        <is>
          <t>N/A</t>
        </is>
      </c>
    </row>
    <row r="100">
      <c r="A100" t="inlineStr">
        <is>
          <t>M3</t>
        </is>
      </c>
      <c r="B100" t="inlineStr">
        <is>
          <t>Final atmospheric release</t>
        </is>
      </c>
      <c r="C100" t="inlineStr">
        <is>
          <t>N/A</t>
        </is>
      </c>
      <c r="D100" t="inlineStr">
        <is>
          <t>N/A</t>
        </is>
      </c>
      <c r="E100" t="inlineStr">
        <is>
          <t>N/A</t>
        </is>
      </c>
      <c r="F100" t="inlineStr">
        <is>
          <t>N/A</t>
        </is>
      </c>
      <c r="G100" t="inlineStr">
        <is>
          <t>N/A</t>
        </is>
      </c>
      <c r="H100" t="inlineStr">
        <is>
          <t>N/A</t>
        </is>
      </c>
      <c r="I100" t="inlineStr">
        <is>
          <t>N/A</t>
        </is>
      </c>
      <c r="J100" t="inlineStr">
        <is>
          <t>N/A</t>
        </is>
      </c>
      <c r="K100" t="inlineStr">
        <is>
          <t>N/A</t>
        </is>
      </c>
      <c r="L100" t="inlineStr">
        <is>
          <t>N/A</t>
        </is>
      </c>
      <c r="M100" t="inlineStr">
        <is>
          <t>N/A</t>
        </is>
      </c>
      <c r="N100" t="inlineStr">
        <is>
          <t>N/A</t>
        </is>
      </c>
    </row>
    <row r="101">
      <c r="A101" t="inlineStr">
        <is>
          <t>M3</t>
        </is>
      </c>
      <c r="B101" t="inlineStr">
        <is>
          <t>Capture solvent burden (R1 explicit)</t>
        </is>
      </c>
      <c r="C101" t="inlineStr">
        <is>
          <t>R_p</t>
        </is>
      </c>
      <c r="D101" t="n">
        <v>1057.227651280685</v>
      </c>
      <c r="E101" t="inlineStr">
        <is>
          <t>t-CO2/y</t>
        </is>
      </c>
      <c r="F101" t="inlineStr">
        <is>
          <t>already CO2</t>
        </is>
      </c>
      <c r="G101" t="inlineStr">
        <is>
          <t>t-CO2/y</t>
        </is>
      </c>
      <c r="H101" t="inlineStr">
        <is>
          <t>CAP</t>
        </is>
      </c>
      <c r="I101" t="inlineStr">
        <is>
          <t>R_p x s_cap x m_reag</t>
        </is>
      </c>
      <c r="J101" t="inlineStr">
        <is>
          <t>random through m_reag</t>
        </is>
      </c>
      <c r="K101" t="inlineStr">
        <is>
          <t>m_reag shared by all capture pathways</t>
        </is>
      </c>
      <c r="L101" t="inlineStr">
        <is>
          <t>none</t>
        </is>
      </c>
      <c r="M101" t="inlineStr">
        <is>
          <t>+</t>
        </is>
      </c>
      <c r="N101" t="inlineStr">
        <is>
          <t>Bisinella et al. 2021, Table 4: 12 kg CO2-eq per t ww</t>
        </is>
      </c>
    </row>
    <row r="102">
      <c r="A102" t="inlineStr">
        <is>
          <t>M3</t>
        </is>
      </c>
      <c r="B102" t="inlineStr">
        <is>
          <t>Transport (R1 explicit: CO2 to storage / ore / slag / CO2 to synthesis)</t>
        </is>
      </c>
      <c r="C102" t="inlineStr">
        <is>
          <t>Tr_p</t>
        </is>
      </c>
      <c r="D102" t="n">
        <v>336.6923050899692</v>
      </c>
      <c r="E102" t="inlineStr">
        <is>
          <t>t-CO2/y</t>
        </is>
      </c>
      <c r="F102" t="inlineStr">
        <is>
          <t>already CO2</t>
        </is>
      </c>
      <c r="G102" t="inlineStr">
        <is>
          <t>t-CO2/y</t>
        </is>
      </c>
      <c r="H102" t="inlineStr">
        <is>
          <t>CAP</t>
        </is>
      </c>
      <c r="I102" t="inlineStr">
        <is>
          <t>Tr_p x s_cap x m_trans</t>
        </is>
      </c>
      <c r="J102" t="inlineStr">
        <is>
          <t>random through m_trans</t>
        </is>
      </c>
      <c r="K102" t="inlineStr">
        <is>
          <t>m_trans shared within capture family</t>
        </is>
      </c>
      <c r="L102" t="inlineStr">
        <is>
          <t>none</t>
        </is>
      </c>
      <c r="M102" t="inlineStr">
        <is>
          <t>+</t>
        </is>
      </c>
      <c r="N102" t="inlineStr">
        <is>
          <t>G: Bisinella et al. 2021 Section 2.4; M: source workbook t-km; U: source workbook</t>
        </is>
      </c>
    </row>
    <row r="103">
      <c r="A103" t="inlineStr">
        <is>
          <t>M3</t>
        </is>
      </c>
      <c r="B103" t="inlineStr">
        <is>
          <t>Product transport</t>
        </is>
      </c>
      <c r="C103" t="inlineStr">
        <is>
          <t>N/A</t>
        </is>
      </c>
      <c r="D103" t="inlineStr">
        <is>
          <t>N/A</t>
        </is>
      </c>
      <c r="E103" t="inlineStr">
        <is>
          <t>N/A</t>
        </is>
      </c>
      <c r="F103" t="inlineStr">
        <is>
          <t>N/A</t>
        </is>
      </c>
      <c r="G103" t="inlineStr">
        <is>
          <t>N/A</t>
        </is>
      </c>
      <c r="H103" t="inlineStr">
        <is>
          <t>N/A</t>
        </is>
      </c>
      <c r="I103" t="inlineStr">
        <is>
          <t>N/A</t>
        </is>
      </c>
      <c r="J103" t="inlineStr">
        <is>
          <t>N/A</t>
        </is>
      </c>
      <c r="K103" t="inlineStr">
        <is>
          <t>N/A</t>
        </is>
      </c>
      <c r="L103" t="inlineStr">
        <is>
          <t>N/A</t>
        </is>
      </c>
      <c r="M103" t="inlineStr">
        <is>
          <t>N/A</t>
        </is>
      </c>
      <c r="N103" t="inlineStr">
        <is>
          <t>N/A</t>
        </is>
      </c>
    </row>
    <row r="104">
      <c r="A104" t="inlineStr">
        <is>
          <t>M3</t>
        </is>
      </c>
      <c r="B104" t="inlineStr">
        <is>
          <t>Capital-related burdens</t>
        </is>
      </c>
      <c r="C104" t="inlineStr">
        <is>
          <t>C_cap</t>
        </is>
      </c>
      <c r="D104" t="inlineStr">
        <is>
          <t>inside residual</t>
        </is>
      </c>
      <c r="E104" t="inlineStr">
        <is>
          <t>t-CO2/y</t>
        </is>
      </c>
      <c r="F104" t="inlineStr">
        <is>
          <t>annualised</t>
        </is>
      </c>
      <c r="G104" t="inlineStr">
        <is>
          <t>t-CO2/y</t>
        </is>
      </c>
      <c r="H104" t="inlineStr">
        <is>
          <t>RESIDUAL</t>
        </is>
      </c>
      <c r="I104" t="inlineStr">
        <is>
          <t>annualised, held at its national value, x m_rem</t>
        </is>
      </c>
      <c r="J104" t="inlineStr">
        <is>
          <t>random through m_rem</t>
        </is>
      </c>
      <c r="K104" t="inlineStr">
        <is>
          <t>pathway-specific</t>
        </is>
      </c>
      <c r="L104" t="inlineStr">
        <is>
          <t>none</t>
        </is>
      </c>
      <c r="M104" t="inlineStr">
        <is>
          <t>+</t>
        </is>
      </c>
      <c r="N104" t="inlineStr">
        <is>
          <t>calibrated remainder</t>
        </is>
      </c>
    </row>
    <row r="105">
      <c r="A105" t="inlineStr">
        <is>
          <t>M3</t>
        </is>
      </c>
      <c r="B105" t="inlineStr">
        <is>
          <t>Calibrated residual, total</t>
        </is>
      </c>
      <c r="C105" t="inlineStr">
        <is>
          <t>C_p</t>
        </is>
      </c>
      <c r="D105" t="n">
        <v>28599.84</v>
      </c>
      <c r="E105" t="inlineStr">
        <is>
          <t>t-CO2/y</t>
        </is>
      </c>
      <c r="F105" t="inlineStr">
        <is>
          <t>already CO2</t>
        </is>
      </c>
      <c r="G105" t="inlineStr">
        <is>
          <t>t-CO2/y</t>
        </is>
      </c>
      <c r="H105" t="inlineStr">
        <is>
          <t>RESIDUAL</t>
        </is>
      </c>
      <c r="I105" t="inlineStr">
        <is>
          <t>C_p x m_rem</t>
        </is>
      </c>
      <c r="J105" t="inlineStr">
        <is>
          <t>random through m_rem</t>
        </is>
      </c>
      <c r="K105" t="inlineStr">
        <is>
          <t>pathway-specific</t>
        </is>
      </c>
      <c r="L105" t="inlineStr">
        <is>
          <t>shifts with the anchor under B</t>
        </is>
      </c>
      <c r="M105" t="inlineStr">
        <is>
          <t>+/-</t>
        </is>
      </c>
      <c r="N105" t="inlineStr">
        <is>
          <t>verified national value minus the explicit groups</t>
        </is>
      </c>
    </row>
    <row r="106">
      <c r="A106" t="inlineStr">
        <is>
          <t>M4</t>
        </is>
      </c>
      <c r="B106" t="inlineStr">
        <is>
          <t>Plant auxiliary electricity</t>
        </is>
      </c>
      <c r="C106" t="inlineStr">
        <is>
          <t>E_aux</t>
        </is>
      </c>
      <c r="D106" t="n">
        <v>24360</v>
      </c>
      <c r="E106" t="inlineStr">
        <is>
          <t>MWh/y</t>
        </is>
      </c>
      <c r="F106" t="inlineStr">
        <is>
          <t>EF</t>
        </is>
      </c>
      <c r="G106" t="inlineStr">
        <is>
          <t>t-CO2/y</t>
        </is>
      </c>
      <c r="H106" t="inlineStr">
        <is>
          <t>FIXED</t>
        </is>
      </c>
      <c r="I106" t="inlineStr">
        <is>
          <t>E_aux x EF</t>
        </is>
      </c>
      <c r="J106" t="inlineStr">
        <is>
          <t>random through EF</t>
        </is>
      </c>
      <c r="K106" t="inlineStr">
        <is>
          <t>EF shared by all pathways</t>
        </is>
      </c>
      <c r="L106" t="inlineStr">
        <is>
          <t>none</t>
        </is>
      </c>
      <c r="M106" t="inlineStr">
        <is>
          <t>+</t>
        </is>
      </c>
      <c r="N106" t="inlineStr">
        <is>
          <t>harmonised inventory</t>
        </is>
      </c>
    </row>
    <row r="107">
      <c r="A107" t="inlineStr">
        <is>
          <t>M4</t>
        </is>
      </c>
      <c r="B107" t="inlineStr">
        <is>
          <t>Baseline electricity export</t>
        </is>
      </c>
      <c r="C107" t="inlineStr">
        <is>
          <t>E_exp_base</t>
        </is>
      </c>
      <c r="D107" t="n">
        <v>-43207</v>
      </c>
      <c r="E107" t="inlineStr">
        <is>
          <t>MWh/y</t>
        </is>
      </c>
      <c r="F107" t="inlineStr">
        <is>
          <t>EF</t>
        </is>
      </c>
      <c r="G107" t="inlineStr">
        <is>
          <t>t-CO2/y</t>
        </is>
      </c>
      <c r="H107" t="inlineStr">
        <is>
          <t>FIXED</t>
        </is>
      </c>
      <c r="I107" t="inlineStr">
        <is>
          <t>minus E_exp_base x EF</t>
        </is>
      </c>
      <c r="J107" t="inlineStr">
        <is>
          <t>random through EF</t>
        </is>
      </c>
      <c r="K107" t="inlineStr">
        <is>
          <t>EF shared by all pathways</t>
        </is>
      </c>
      <c r="L107" t="inlineStr">
        <is>
          <t>none</t>
        </is>
      </c>
      <c r="M107" t="inlineStr">
        <is>
          <t>-</t>
        </is>
      </c>
      <c r="N107" t="inlineStr">
        <is>
          <t>harmonised inventory</t>
        </is>
      </c>
    </row>
    <row r="108">
      <c r="A108" t="inlineStr">
        <is>
          <t>M4</t>
        </is>
      </c>
      <c r="B108" t="inlineStr">
        <is>
          <t>Steam generation burden</t>
        </is>
      </c>
      <c r="C108" t="inlineStr">
        <is>
          <t>n/a</t>
        </is>
      </c>
      <c r="D108" t="inlineStr">
        <is>
          <t>not separate</t>
        </is>
      </c>
      <c r="E108" t="inlineStr">
        <is>
          <t>MWh/y</t>
        </is>
      </c>
      <c r="F108" t="inlineStr">
        <is>
          <t>n/a</t>
        </is>
      </c>
      <c r="G108" t="inlineStr">
        <is>
          <t>t-CO2/y</t>
        </is>
      </c>
      <c r="H108" t="inlineStr">
        <is>
          <t>FIXED</t>
        </is>
      </c>
      <c r="I108" t="inlineStr">
        <is>
          <t>inside E_exp_base; same waste tonnage in every region</t>
        </is>
      </c>
      <c r="J108" t="inlineStr">
        <is>
          <t>deterministic</t>
        </is>
      </c>
      <c r="K108" t="inlineStr">
        <is>
          <t>shared by all pathways</t>
        </is>
      </c>
      <c r="L108" t="inlineStr">
        <is>
          <t>none</t>
        </is>
      </c>
      <c r="M108" t="inlineStr">
        <is>
          <t>n/a</t>
        </is>
      </c>
      <c r="N108" t="inlineStr">
        <is>
          <t>harmonised inventory</t>
        </is>
      </c>
    </row>
    <row r="109">
      <c r="A109" t="inlineStr">
        <is>
          <t>M4</t>
        </is>
      </c>
      <c r="B109" t="inlineStr">
        <is>
          <t>Steam-extraction export penalty</t>
        </is>
      </c>
      <c r="C109" t="inlineStr">
        <is>
          <t>P_steam</t>
        </is>
      </c>
      <c r="D109" t="n">
        <v>13087</v>
      </c>
      <c r="E109" t="inlineStr">
        <is>
          <t>MWh/y</t>
        </is>
      </c>
      <c r="F109" t="inlineStr">
        <is>
          <t>EF</t>
        </is>
      </c>
      <c r="G109" t="inlineStr">
        <is>
          <t>t-CO2/y</t>
        </is>
      </c>
      <c r="H109" t="inlineStr">
        <is>
          <t>CAP</t>
        </is>
      </c>
      <c r="I109" t="inlineStr">
        <is>
          <t>P_steam x s_cap x EF</t>
        </is>
      </c>
      <c r="J109" t="inlineStr">
        <is>
          <t>random through EF and cr</t>
        </is>
      </c>
      <c r="K109" t="inlineStr">
        <is>
          <t>EF and cr shared</t>
        </is>
      </c>
      <c r="L109" t="inlineStr">
        <is>
          <t>none</t>
        </is>
      </c>
      <c r="M109" t="inlineStr">
        <is>
          <t>+</t>
        </is>
      </c>
      <c r="N109" t="inlineStr">
        <is>
          <t>E_exp_base minus E_exp_cc</t>
        </is>
      </c>
    </row>
    <row r="110">
      <c r="A110" t="inlineStr">
        <is>
          <t>M4</t>
        </is>
      </c>
      <c r="B110" t="inlineStr">
        <is>
          <t>Capture electricity</t>
        </is>
      </c>
      <c r="C110" t="inlineStr">
        <is>
          <t>E_proc part</t>
        </is>
      </c>
      <c r="D110" t="inlineStr">
        <is>
          <t>inside E_proc</t>
        </is>
      </c>
      <c r="E110" t="inlineStr">
        <is>
          <t>MWh/y</t>
        </is>
      </c>
      <c r="F110" t="inlineStr">
        <is>
          <t>EF</t>
        </is>
      </c>
      <c r="G110" t="inlineStr">
        <is>
          <t>t-CO2/y</t>
        </is>
      </c>
      <c r="H110" t="inlineStr">
        <is>
          <t>CAP</t>
        </is>
      </c>
      <c r="I110" t="inlineStr">
        <is>
          <t>E_proc x s_cap x EF x m_el</t>
        </is>
      </c>
      <c r="J110" t="inlineStr">
        <is>
          <t>random</t>
        </is>
      </c>
      <c r="K110" t="inlineStr">
        <is>
          <t>m_el shared within family</t>
        </is>
      </c>
      <c r="L110" t="inlineStr">
        <is>
          <t>none</t>
        </is>
      </c>
      <c r="M110" t="inlineStr">
        <is>
          <t>+</t>
        </is>
      </c>
      <c r="N110" t="inlineStr">
        <is>
          <t>harmonised inventory</t>
        </is>
      </c>
    </row>
    <row r="111">
      <c r="A111" t="inlineStr">
        <is>
          <t>M4</t>
        </is>
      </c>
      <c r="B111" t="inlineStr">
        <is>
          <t>CO2 compression electricity</t>
        </is>
      </c>
      <c r="C111" t="inlineStr">
        <is>
          <t>E_proc part</t>
        </is>
      </c>
      <c r="D111" t="inlineStr">
        <is>
          <t>inside E_proc</t>
        </is>
      </c>
      <c r="E111" t="inlineStr">
        <is>
          <t>MWh/y</t>
        </is>
      </c>
      <c r="F111" t="inlineStr">
        <is>
          <t>EF</t>
        </is>
      </c>
      <c r="G111" t="inlineStr">
        <is>
          <t>t-CO2/y</t>
        </is>
      </c>
      <c r="H111" t="inlineStr">
        <is>
          <t>CAP</t>
        </is>
      </c>
      <c r="I111" t="inlineStr">
        <is>
          <t>E_proc x s_cap x EF x m_el</t>
        </is>
      </c>
      <c r="J111" t="inlineStr">
        <is>
          <t>random</t>
        </is>
      </c>
      <c r="K111" t="inlineStr">
        <is>
          <t>m_el shared within family</t>
        </is>
      </c>
      <c r="L111" t="inlineStr">
        <is>
          <t>none</t>
        </is>
      </c>
      <c r="M111" t="inlineStr">
        <is>
          <t>+</t>
        </is>
      </c>
      <c r="N111" t="inlineStr">
        <is>
          <t>harmonised inventory</t>
        </is>
      </c>
    </row>
    <row r="112">
      <c r="A112" t="inlineStr">
        <is>
          <t>M4</t>
        </is>
      </c>
      <c r="B112" t="inlineStr">
        <is>
          <t>Conversion electricity</t>
        </is>
      </c>
      <c r="C112" t="inlineStr">
        <is>
          <t>E_proc part</t>
        </is>
      </c>
      <c r="D112" t="inlineStr">
        <is>
          <t>inside E_proc</t>
        </is>
      </c>
      <c r="E112" t="inlineStr">
        <is>
          <t>MWh/y</t>
        </is>
      </c>
      <c r="F112" t="inlineStr">
        <is>
          <t>EF</t>
        </is>
      </c>
      <c r="G112" t="inlineStr">
        <is>
          <t>t-CO2/y</t>
        </is>
      </c>
      <c r="H112" t="inlineStr">
        <is>
          <t>CAP</t>
        </is>
      </c>
      <c r="I112" t="inlineStr">
        <is>
          <t>E_proc x s_cap x EF x m_el</t>
        </is>
      </c>
      <c r="J112" t="inlineStr">
        <is>
          <t>random</t>
        </is>
      </c>
      <c r="K112" t="inlineStr">
        <is>
          <t>m_el shared within family</t>
        </is>
      </c>
      <c r="L112" t="inlineStr">
        <is>
          <t>none</t>
        </is>
      </c>
      <c r="M112" t="inlineStr">
        <is>
          <t>+</t>
        </is>
      </c>
      <c r="N112" t="inlineStr">
        <is>
          <t>harmonised inventory</t>
        </is>
      </c>
    </row>
    <row r="113">
      <c r="A113" t="inlineStr">
        <is>
          <t>M4</t>
        </is>
      </c>
      <c r="B113" t="inlineStr">
        <is>
          <t>Total capture, compression and conversion electricity</t>
        </is>
      </c>
      <c r="C113" t="inlineStr">
        <is>
          <t>E_proc</t>
        </is>
      </c>
      <c r="D113" t="n">
        <v>38365.90188819121</v>
      </c>
      <c r="E113" t="inlineStr">
        <is>
          <t>MWh/y</t>
        </is>
      </c>
      <c r="F113" t="inlineStr">
        <is>
          <t>EF</t>
        </is>
      </c>
      <c r="G113" t="inlineStr">
        <is>
          <t>t-CO2/y</t>
        </is>
      </c>
      <c r="H113" t="inlineStr">
        <is>
          <t>CAP</t>
        </is>
      </c>
      <c r="I113" t="inlineStr">
        <is>
          <t>E_proc x s_cap x EF x m_el</t>
        </is>
      </c>
      <c r="J113" t="inlineStr">
        <is>
          <t>random</t>
        </is>
      </c>
      <c r="K113" t="inlineStr">
        <is>
          <t>m_el shared within family</t>
        </is>
      </c>
      <c r="L113" t="inlineStr">
        <is>
          <t>none</t>
        </is>
      </c>
      <c r="M113" t="inlineStr">
        <is>
          <t>+</t>
        </is>
      </c>
      <c r="N113" t="inlineStr">
        <is>
          <t>harmonised inventory</t>
        </is>
      </c>
    </row>
    <row r="114">
      <c r="A114" t="inlineStr">
        <is>
          <t>M4</t>
        </is>
      </c>
      <c r="B114" t="inlineStr">
        <is>
          <t>Pyrolysis electricity</t>
        </is>
      </c>
      <c r="C114" t="inlineStr">
        <is>
          <t>N/A</t>
        </is>
      </c>
      <c r="D114" t="inlineStr">
        <is>
          <t>N/A</t>
        </is>
      </c>
      <c r="E114" t="inlineStr">
        <is>
          <t>N/A</t>
        </is>
      </c>
      <c r="F114" t="inlineStr">
        <is>
          <t>N/A</t>
        </is>
      </c>
      <c r="G114" t="inlineStr">
        <is>
          <t>N/A</t>
        </is>
      </c>
      <c r="H114" t="inlineStr">
        <is>
          <t>N/A</t>
        </is>
      </c>
      <c r="I114" t="inlineStr">
        <is>
          <t>N/A</t>
        </is>
      </c>
      <c r="J114" t="inlineStr">
        <is>
          <t>N/A</t>
        </is>
      </c>
      <c r="K114" t="inlineStr">
        <is>
          <t>N/A</t>
        </is>
      </c>
      <c r="L114" t="inlineStr">
        <is>
          <t>N/A</t>
        </is>
      </c>
      <c r="M114" t="inlineStr">
        <is>
          <t>N/A</t>
        </is>
      </c>
      <c r="N114" t="inlineStr">
        <is>
          <t>N/A</t>
        </is>
      </c>
    </row>
    <row r="115">
      <c r="A115" t="inlineStr">
        <is>
          <t>M4</t>
        </is>
      </c>
      <c r="B115" t="inlineStr">
        <is>
          <t>Hydrogen demand</t>
        </is>
      </c>
      <c r="C115" t="inlineStr">
        <is>
          <t>N/A</t>
        </is>
      </c>
      <c r="D115" t="inlineStr">
        <is>
          <t>N/A</t>
        </is>
      </c>
      <c r="E115" t="inlineStr">
        <is>
          <t>N/A</t>
        </is>
      </c>
      <c r="F115" t="inlineStr">
        <is>
          <t>N/A</t>
        </is>
      </c>
      <c r="G115" t="inlineStr">
        <is>
          <t>N/A</t>
        </is>
      </c>
      <c r="H115" t="inlineStr">
        <is>
          <t>N/A</t>
        </is>
      </c>
      <c r="I115" t="inlineStr">
        <is>
          <t>N/A</t>
        </is>
      </c>
      <c r="J115" t="inlineStr">
        <is>
          <t>N/A</t>
        </is>
      </c>
      <c r="K115" t="inlineStr">
        <is>
          <t>N/A</t>
        </is>
      </c>
      <c r="L115" t="inlineStr">
        <is>
          <t>N/A</t>
        </is>
      </c>
      <c r="M115" t="inlineStr">
        <is>
          <t>N/A</t>
        </is>
      </c>
      <c r="N115" t="inlineStr">
        <is>
          <t>N/A</t>
        </is>
      </c>
    </row>
    <row r="116">
      <c r="A116" t="inlineStr">
        <is>
          <t>M4</t>
        </is>
      </c>
      <c r="B116" t="inlineStr">
        <is>
          <t>Direct fossil-carbon emission</t>
        </is>
      </c>
      <c r="C116" t="inlineStr">
        <is>
          <t>F</t>
        </is>
      </c>
      <c r="D116" t="n">
        <v>26475.1872</v>
      </c>
      <c r="E116" t="inlineStr">
        <is>
          <t>t-CO2/y</t>
        </is>
      </c>
      <c r="F116" t="inlineStr">
        <is>
          <t>already CO2</t>
        </is>
      </c>
      <c r="G116" t="inlineStr">
        <is>
          <t>t-CO2/y</t>
        </is>
      </c>
      <c r="H116" t="inlineStr">
        <is>
          <t>CARBON</t>
        </is>
      </c>
      <c r="I116" t="inlineStr">
        <is>
          <t>enters phi; see the carbon-flow rows below</t>
        </is>
      </c>
      <c r="J116" t="inlineStr">
        <is>
          <t>random</t>
        </is>
      </c>
      <c r="K116" t="inlineStr">
        <is>
          <t>F shared by all pathways</t>
        </is>
      </c>
      <c r="L116" t="inlineStr">
        <is>
          <t>none</t>
        </is>
      </c>
      <c r="M116" t="inlineStr">
        <is>
          <t>+</t>
        </is>
      </c>
      <c r="N116" t="inlineStr">
        <is>
          <t>national waste survey</t>
        </is>
      </c>
    </row>
    <row r="117">
      <c r="A117" t="inlineStr">
        <is>
          <t>M4</t>
        </is>
      </c>
      <c r="B117" t="inlineStr">
        <is>
          <t>Uncaptured fossil fraction</t>
        </is>
      </c>
      <c r="C117" t="inlineStr">
        <is>
          <t>(1-cr) F</t>
        </is>
      </c>
      <c r="D117" t="inlineStr">
        <is>
          <t>applies</t>
        </is>
      </c>
      <c r="E117" t="inlineStr">
        <is>
          <t>t-CO2/y</t>
        </is>
      </c>
      <c r="F117" t="inlineStr">
        <is>
          <t>already CO2</t>
        </is>
      </c>
      <c r="G117" t="inlineStr">
        <is>
          <t>t-CO2/y</t>
        </is>
      </c>
      <c r="H117" t="inlineStr">
        <is>
          <t>CARBON</t>
        </is>
      </c>
      <c r="I117" t="inlineStr">
        <is>
          <t>(1 - cr) x F, charged exactly once</t>
        </is>
      </c>
      <c r="J117" t="inlineStr">
        <is>
          <t>random through cr</t>
        </is>
      </c>
      <c r="K117" t="inlineStr">
        <is>
          <t>cr shared by capture pathways</t>
        </is>
      </c>
      <c r="L117" t="inlineStr">
        <is>
          <t>none</t>
        </is>
      </c>
      <c r="M117" t="inlineStr">
        <is>
          <t>+</t>
        </is>
      </c>
      <c r="N117" t="inlineStr">
        <is>
          <t>model</t>
        </is>
      </c>
    </row>
    <row r="118">
      <c r="A118" t="inlineStr">
        <is>
          <t>M4</t>
        </is>
      </c>
      <c r="B118" t="inlineStr">
        <is>
          <t>Mineralization reactor loss</t>
        </is>
      </c>
      <c r="C118" t="inlineStr">
        <is>
          <t>L_R,p</t>
        </is>
      </c>
      <c r="D118" t="n">
        <v>840.3610561914672</v>
      </c>
      <c r="E118" t="inlineStr">
        <is>
          <t>t-CO2/y</t>
        </is>
      </c>
      <c r="F118" t="inlineStr">
        <is>
          <t>already CO2</t>
        </is>
      </c>
      <c r="G118" t="inlineStr">
        <is>
          <t>t-CO2/y</t>
        </is>
      </c>
      <c r="H118" t="inlineStr">
        <is>
          <t>CAP</t>
        </is>
      </c>
      <c r="I118" t="inlineStr">
        <is>
          <t>L_R x s_cap x f, inside phi (f = F / T, fossil share)</t>
        </is>
      </c>
      <c r="J118" t="inlineStr">
        <is>
          <t>random</t>
        </is>
      </c>
      <c r="K118" t="inlineStr">
        <is>
          <t>pathway-specific</t>
        </is>
      </c>
      <c r="L118" t="inlineStr">
        <is>
          <t>none</t>
        </is>
      </c>
      <c r="M118" t="inlineStr">
        <is>
          <t>+</t>
        </is>
      </c>
      <c r="N118" t="inlineStr">
        <is>
          <t>source workbook, reactor loss only</t>
        </is>
      </c>
    </row>
    <row r="119">
      <c r="A119" t="inlineStr">
        <is>
          <t>M4</t>
        </is>
      </c>
      <c r="B119" t="inlineStr">
        <is>
          <t>CCU process vent</t>
        </is>
      </c>
      <c r="C119" t="inlineStr">
        <is>
          <t>N/A</t>
        </is>
      </c>
      <c r="D119" t="inlineStr">
        <is>
          <t>N/A</t>
        </is>
      </c>
      <c r="E119" t="inlineStr">
        <is>
          <t>N/A</t>
        </is>
      </c>
      <c r="F119" t="inlineStr">
        <is>
          <t>N/A</t>
        </is>
      </c>
      <c r="G119" t="inlineStr">
        <is>
          <t>N/A</t>
        </is>
      </c>
      <c r="H119" t="inlineStr">
        <is>
          <t>N/A</t>
        </is>
      </c>
      <c r="I119" t="inlineStr">
        <is>
          <t>N/A</t>
        </is>
      </c>
      <c r="J119" t="inlineStr">
        <is>
          <t>N/A</t>
        </is>
      </c>
      <c r="K119" t="inlineStr">
        <is>
          <t>N/A</t>
        </is>
      </c>
      <c r="L119" t="inlineStr">
        <is>
          <t>N/A</t>
        </is>
      </c>
      <c r="M119" t="inlineStr">
        <is>
          <t>N/A</t>
        </is>
      </c>
      <c r="N119" t="inlineStr">
        <is>
          <t>N/A</t>
        </is>
      </c>
    </row>
    <row r="120">
      <c r="A120" t="inlineStr">
        <is>
          <t>M4</t>
        </is>
      </c>
      <c r="B120" t="inlineStr">
        <is>
          <t>Product output</t>
        </is>
      </c>
      <c r="C120" t="inlineStr">
        <is>
          <t>N/A</t>
        </is>
      </c>
      <c r="D120" t="inlineStr">
        <is>
          <t>N/A</t>
        </is>
      </c>
      <c r="E120" t="inlineStr">
        <is>
          <t>N/A</t>
        </is>
      </c>
      <c r="F120" t="inlineStr">
        <is>
          <t>N/A</t>
        </is>
      </c>
      <c r="G120" t="inlineStr">
        <is>
          <t>N/A</t>
        </is>
      </c>
      <c r="H120" t="inlineStr">
        <is>
          <t>N/A</t>
        </is>
      </c>
      <c r="I120" t="inlineStr">
        <is>
          <t>N/A</t>
        </is>
      </c>
      <c r="J120" t="inlineStr">
        <is>
          <t>N/A</t>
        </is>
      </c>
      <c r="K120" t="inlineStr">
        <is>
          <t>N/A</t>
        </is>
      </c>
      <c r="L120" t="inlineStr">
        <is>
          <t>N/A</t>
        </is>
      </c>
      <c r="M120" t="inlineStr">
        <is>
          <t>N/A</t>
        </is>
      </c>
      <c r="N120" t="inlineStr">
        <is>
          <t>N/A</t>
        </is>
      </c>
    </row>
    <row r="121">
      <c r="A121" t="inlineStr">
        <is>
          <t>M4</t>
        </is>
      </c>
      <c r="B121" t="inlineStr">
        <is>
          <t>Displaced-product burden (cradle-to-grave)</t>
        </is>
      </c>
      <c r="C121" t="inlineStr">
        <is>
          <t>N/A</t>
        </is>
      </c>
      <c r="D121" t="inlineStr">
        <is>
          <t>N/A</t>
        </is>
      </c>
      <c r="E121" t="inlineStr">
        <is>
          <t>N/A</t>
        </is>
      </c>
      <c r="F121" t="inlineStr">
        <is>
          <t>N/A</t>
        </is>
      </c>
      <c r="G121" t="inlineStr">
        <is>
          <t>N/A</t>
        </is>
      </c>
      <c r="H121" t="inlineStr">
        <is>
          <t>N/A</t>
        </is>
      </c>
      <c r="I121" t="inlineStr">
        <is>
          <t>N/A</t>
        </is>
      </c>
      <c r="J121" t="inlineStr">
        <is>
          <t>N/A</t>
        </is>
      </c>
      <c r="K121" t="inlineStr">
        <is>
          <t>N/A</t>
        </is>
      </c>
      <c r="L121" t="inlineStr">
        <is>
          <t>N/A</t>
        </is>
      </c>
      <c r="M121" t="inlineStr">
        <is>
          <t>N/A</t>
        </is>
      </c>
      <c r="N121" t="inlineStr">
        <is>
          <t>N/A</t>
        </is>
      </c>
    </row>
    <row r="122">
      <c r="A122" t="inlineStr">
        <is>
          <t>M4</t>
        </is>
      </c>
      <c r="B122" t="inlineStr">
        <is>
          <t>Product fossil-combustion charge</t>
        </is>
      </c>
      <c r="C122" t="inlineStr">
        <is>
          <t>N/A</t>
        </is>
      </c>
      <c r="D122" t="inlineStr">
        <is>
          <t>N/A</t>
        </is>
      </c>
      <c r="E122" t="inlineStr">
        <is>
          <t>N/A</t>
        </is>
      </c>
      <c r="F122" t="inlineStr">
        <is>
          <t>N/A</t>
        </is>
      </c>
      <c r="G122" t="inlineStr">
        <is>
          <t>N/A</t>
        </is>
      </c>
      <c r="H122" t="inlineStr">
        <is>
          <t>N/A</t>
        </is>
      </c>
      <c r="I122" t="inlineStr">
        <is>
          <t>N/A</t>
        </is>
      </c>
      <c r="J122" t="inlineStr">
        <is>
          <t>N/A</t>
        </is>
      </c>
      <c r="K122" t="inlineStr">
        <is>
          <t>N/A</t>
        </is>
      </c>
      <c r="L122" t="inlineStr">
        <is>
          <t>N/A</t>
        </is>
      </c>
      <c r="M122" t="inlineStr">
        <is>
          <t>N/A</t>
        </is>
      </c>
      <c r="N122" t="inlineStr">
        <is>
          <t>N/A</t>
        </is>
      </c>
    </row>
    <row r="123">
      <c r="A123" t="inlineStr">
        <is>
          <t>M4</t>
        </is>
      </c>
      <c r="B123" t="inlineStr">
        <is>
          <t>Diverted plastic carbon</t>
        </is>
      </c>
      <c r="C123" t="inlineStr">
        <is>
          <t>N/A</t>
        </is>
      </c>
      <c r="D123" t="inlineStr">
        <is>
          <t>N/A</t>
        </is>
      </c>
      <c r="E123" t="inlineStr">
        <is>
          <t>N/A</t>
        </is>
      </c>
      <c r="F123" t="inlineStr">
        <is>
          <t>N/A</t>
        </is>
      </c>
      <c r="G123" t="inlineStr">
        <is>
          <t>N/A</t>
        </is>
      </c>
      <c r="H123" t="inlineStr">
        <is>
          <t>N/A</t>
        </is>
      </c>
      <c r="I123" t="inlineStr">
        <is>
          <t>N/A</t>
        </is>
      </c>
      <c r="J123" t="inlineStr">
        <is>
          <t>N/A</t>
        </is>
      </c>
      <c r="K123" t="inlineStr">
        <is>
          <t>N/A</t>
        </is>
      </c>
      <c r="L123" t="inlineStr">
        <is>
          <t>N/A</t>
        </is>
      </c>
      <c r="M123" t="inlineStr">
        <is>
          <t>N/A</t>
        </is>
      </c>
      <c r="N123" t="inlineStr">
        <is>
          <t>N/A</t>
        </is>
      </c>
    </row>
    <row r="124">
      <c r="A124" t="inlineStr">
        <is>
          <t>M4</t>
        </is>
      </c>
      <c r="B124" t="inlineStr">
        <is>
          <t>Permanent geological storage</t>
        </is>
      </c>
      <c r="C124" t="inlineStr">
        <is>
          <t>S_fossil</t>
        </is>
      </c>
      <c r="D124" t="inlineStr">
        <is>
          <t>applies</t>
        </is>
      </c>
      <c r="E124" t="inlineStr">
        <is>
          <t>t-CO2/y</t>
        </is>
      </c>
      <c r="F124" t="inlineStr">
        <is>
          <t>already CO2</t>
        </is>
      </c>
      <c r="G124" t="inlineStr">
        <is>
          <t>t-CO2/y</t>
        </is>
      </c>
      <c r="H124" t="inlineStr">
        <is>
          <t>CARBON</t>
        </is>
      </c>
      <c r="I124" t="inlineStr">
        <is>
          <t>implicit: the retained fraction is simply never released, and is not credited a second time</t>
        </is>
      </c>
      <c r="J124" t="inlineStr">
        <is>
          <t>random through cr</t>
        </is>
      </c>
      <c r="K124" t="inlineStr">
        <is>
          <t>cr shared</t>
        </is>
      </c>
      <c r="L124" t="inlineStr">
        <is>
          <t>none</t>
        </is>
      </c>
      <c r="M124" t="inlineStr">
        <is>
          <t>n/a</t>
        </is>
      </c>
      <c r="N124" t="inlineStr">
        <is>
          <t>model</t>
        </is>
      </c>
    </row>
    <row r="125">
      <c r="A125" t="inlineStr">
        <is>
          <t>M4</t>
        </is>
      </c>
      <c r="B125" t="inlineStr">
        <is>
          <t>Temporary product storage</t>
        </is>
      </c>
      <c r="C125" t="inlineStr">
        <is>
          <t>N/A</t>
        </is>
      </c>
      <c r="D125" t="inlineStr">
        <is>
          <t>N/A</t>
        </is>
      </c>
      <c r="E125" t="inlineStr">
        <is>
          <t>N/A</t>
        </is>
      </c>
      <c r="F125" t="inlineStr">
        <is>
          <t>N/A</t>
        </is>
      </c>
      <c r="G125" t="inlineStr">
        <is>
          <t>N/A</t>
        </is>
      </c>
      <c r="H125" t="inlineStr">
        <is>
          <t>N/A</t>
        </is>
      </c>
      <c r="I125" t="inlineStr">
        <is>
          <t>N/A</t>
        </is>
      </c>
      <c r="J125" t="inlineStr">
        <is>
          <t>N/A</t>
        </is>
      </c>
      <c r="K125" t="inlineStr">
        <is>
          <t>N/A</t>
        </is>
      </c>
      <c r="L125" t="inlineStr">
        <is>
          <t>N/A</t>
        </is>
      </c>
      <c r="M125" t="inlineStr">
        <is>
          <t>N/A</t>
        </is>
      </c>
      <c r="N125" t="inlineStr">
        <is>
          <t>N/A</t>
        </is>
      </c>
    </row>
    <row r="126">
      <c r="A126" t="inlineStr">
        <is>
          <t>M4</t>
        </is>
      </c>
      <c r="B126" t="inlineStr">
        <is>
          <t>Final atmospheric release</t>
        </is>
      </c>
      <c r="C126" t="inlineStr">
        <is>
          <t>N/A</t>
        </is>
      </c>
      <c r="D126" t="inlineStr">
        <is>
          <t>N/A</t>
        </is>
      </c>
      <c r="E126" t="inlineStr">
        <is>
          <t>N/A</t>
        </is>
      </c>
      <c r="F126" t="inlineStr">
        <is>
          <t>N/A</t>
        </is>
      </c>
      <c r="G126" t="inlineStr">
        <is>
          <t>N/A</t>
        </is>
      </c>
      <c r="H126" t="inlineStr">
        <is>
          <t>N/A</t>
        </is>
      </c>
      <c r="I126" t="inlineStr">
        <is>
          <t>N/A</t>
        </is>
      </c>
      <c r="J126" t="inlineStr">
        <is>
          <t>N/A</t>
        </is>
      </c>
      <c r="K126" t="inlineStr">
        <is>
          <t>N/A</t>
        </is>
      </c>
      <c r="L126" t="inlineStr">
        <is>
          <t>N/A</t>
        </is>
      </c>
      <c r="M126" t="inlineStr">
        <is>
          <t>N/A</t>
        </is>
      </c>
      <c r="N126" t="inlineStr">
        <is>
          <t>N/A</t>
        </is>
      </c>
    </row>
    <row r="127">
      <c r="A127" t="inlineStr">
        <is>
          <t>M4</t>
        </is>
      </c>
      <c r="B127" t="inlineStr">
        <is>
          <t>Capture solvent burden (R1 explicit)</t>
        </is>
      </c>
      <c r="C127" t="inlineStr">
        <is>
          <t>R_p</t>
        </is>
      </c>
      <c r="D127" t="n">
        <v>1057.227651280685</v>
      </c>
      <c r="E127" t="inlineStr">
        <is>
          <t>t-CO2/y</t>
        </is>
      </c>
      <c r="F127" t="inlineStr">
        <is>
          <t>already CO2</t>
        </is>
      </c>
      <c r="G127" t="inlineStr">
        <is>
          <t>t-CO2/y</t>
        </is>
      </c>
      <c r="H127" t="inlineStr">
        <is>
          <t>CAP</t>
        </is>
      </c>
      <c r="I127" t="inlineStr">
        <is>
          <t>R_p x s_cap x m_reag</t>
        </is>
      </c>
      <c r="J127" t="inlineStr">
        <is>
          <t>random through m_reag</t>
        </is>
      </c>
      <c r="K127" t="inlineStr">
        <is>
          <t>m_reag shared by all capture pathways</t>
        </is>
      </c>
      <c r="L127" t="inlineStr">
        <is>
          <t>none</t>
        </is>
      </c>
      <c r="M127" t="inlineStr">
        <is>
          <t>+</t>
        </is>
      </c>
      <c r="N127" t="inlineStr">
        <is>
          <t>Bisinella et al. 2021, Table 4: 12 kg CO2-eq per t ww</t>
        </is>
      </c>
    </row>
    <row r="128">
      <c r="A128" t="inlineStr">
        <is>
          <t>M4</t>
        </is>
      </c>
      <c r="B128" t="inlineStr">
        <is>
          <t>Transport (R1 explicit: CO2 to storage / ore / slag / CO2 to synthesis)</t>
        </is>
      </c>
      <c r="C128" t="inlineStr">
        <is>
          <t>Tr_p</t>
        </is>
      </c>
      <c r="D128" t="n">
        <v>306.171738929356</v>
      </c>
      <c r="E128" t="inlineStr">
        <is>
          <t>t-CO2/y</t>
        </is>
      </c>
      <c r="F128" t="inlineStr">
        <is>
          <t>already CO2</t>
        </is>
      </c>
      <c r="G128" t="inlineStr">
        <is>
          <t>t-CO2/y</t>
        </is>
      </c>
      <c r="H128" t="inlineStr">
        <is>
          <t>CAP</t>
        </is>
      </c>
      <c r="I128" t="inlineStr">
        <is>
          <t>Tr_p x s_cap x m_trans</t>
        </is>
      </c>
      <c r="J128" t="inlineStr">
        <is>
          <t>random through m_trans</t>
        </is>
      </c>
      <c r="K128" t="inlineStr">
        <is>
          <t>m_trans shared within capture family</t>
        </is>
      </c>
      <c r="L128" t="inlineStr">
        <is>
          <t>none</t>
        </is>
      </c>
      <c r="M128" t="inlineStr">
        <is>
          <t>+</t>
        </is>
      </c>
      <c r="N128" t="inlineStr">
        <is>
          <t>G: Bisinella et al. 2021 Section 2.4; M: source workbook t-km; U: source workbook</t>
        </is>
      </c>
    </row>
    <row r="129">
      <c r="A129" t="inlineStr">
        <is>
          <t>M4</t>
        </is>
      </c>
      <c r="B129" t="inlineStr">
        <is>
          <t>Product transport</t>
        </is>
      </c>
      <c r="C129" t="inlineStr">
        <is>
          <t>N/A</t>
        </is>
      </c>
      <c r="D129" t="inlineStr">
        <is>
          <t>N/A</t>
        </is>
      </c>
      <c r="E129" t="inlineStr">
        <is>
          <t>N/A</t>
        </is>
      </c>
      <c r="F129" t="inlineStr">
        <is>
          <t>N/A</t>
        </is>
      </c>
      <c r="G129" t="inlineStr">
        <is>
          <t>N/A</t>
        </is>
      </c>
      <c r="H129" t="inlineStr">
        <is>
          <t>N/A</t>
        </is>
      </c>
      <c r="I129" t="inlineStr">
        <is>
          <t>N/A</t>
        </is>
      </c>
      <c r="J129" t="inlineStr">
        <is>
          <t>N/A</t>
        </is>
      </c>
      <c r="K129" t="inlineStr">
        <is>
          <t>N/A</t>
        </is>
      </c>
      <c r="L129" t="inlineStr">
        <is>
          <t>N/A</t>
        </is>
      </c>
      <c r="M129" t="inlineStr">
        <is>
          <t>N/A</t>
        </is>
      </c>
      <c r="N129" t="inlineStr">
        <is>
          <t>N/A</t>
        </is>
      </c>
    </row>
    <row r="130">
      <c r="A130" t="inlineStr">
        <is>
          <t>M4</t>
        </is>
      </c>
      <c r="B130" t="inlineStr">
        <is>
          <t>Capital-related burdens</t>
        </is>
      </c>
      <c r="C130" t="inlineStr">
        <is>
          <t>C_cap</t>
        </is>
      </c>
      <c r="D130" t="inlineStr">
        <is>
          <t>inside residual</t>
        </is>
      </c>
      <c r="E130" t="inlineStr">
        <is>
          <t>t-CO2/y</t>
        </is>
      </c>
      <c r="F130" t="inlineStr">
        <is>
          <t>annualised</t>
        </is>
      </c>
      <c r="G130" t="inlineStr">
        <is>
          <t>t-CO2/y</t>
        </is>
      </c>
      <c r="H130" t="inlineStr">
        <is>
          <t>RESIDUAL</t>
        </is>
      </c>
      <c r="I130" t="inlineStr">
        <is>
          <t>annualised, held at its national value, x m_rem</t>
        </is>
      </c>
      <c r="J130" t="inlineStr">
        <is>
          <t>random through m_rem</t>
        </is>
      </c>
      <c r="K130" t="inlineStr">
        <is>
          <t>pathway-specific</t>
        </is>
      </c>
      <c r="L130" t="inlineStr">
        <is>
          <t>none</t>
        </is>
      </c>
      <c r="M130" t="inlineStr">
        <is>
          <t>+</t>
        </is>
      </c>
      <c r="N130" t="inlineStr">
        <is>
          <t>calibrated remainder</t>
        </is>
      </c>
    </row>
    <row r="131">
      <c r="A131" t="inlineStr">
        <is>
          <t>M4</t>
        </is>
      </c>
      <c r="B131" t="inlineStr">
        <is>
          <t>Calibrated residual, total</t>
        </is>
      </c>
      <c r="C131" t="inlineStr">
        <is>
          <t>C_p</t>
        </is>
      </c>
      <c r="D131" t="n">
        <v>63796.65</v>
      </c>
      <c r="E131" t="inlineStr">
        <is>
          <t>t-CO2/y</t>
        </is>
      </c>
      <c r="F131" t="inlineStr">
        <is>
          <t>already CO2</t>
        </is>
      </c>
      <c r="G131" t="inlineStr">
        <is>
          <t>t-CO2/y</t>
        </is>
      </c>
      <c r="H131" t="inlineStr">
        <is>
          <t>RESIDUAL</t>
        </is>
      </c>
      <c r="I131" t="inlineStr">
        <is>
          <t>C_p x m_rem</t>
        </is>
      </c>
      <c r="J131" t="inlineStr">
        <is>
          <t>random through m_rem</t>
        </is>
      </c>
      <c r="K131" t="inlineStr">
        <is>
          <t>pathway-specific</t>
        </is>
      </c>
      <c r="L131" t="inlineStr">
        <is>
          <t>shifts with the anchor under B</t>
        </is>
      </c>
      <c r="M131" t="inlineStr">
        <is>
          <t>+/-</t>
        </is>
      </c>
      <c r="N131" t="inlineStr">
        <is>
          <t>verified national value minus the explicit groups</t>
        </is>
      </c>
    </row>
    <row r="132">
      <c r="A132" t="inlineStr">
        <is>
          <t>G1</t>
        </is>
      </c>
      <c r="B132" t="inlineStr">
        <is>
          <t>Plant auxiliary electricity</t>
        </is>
      </c>
      <c r="C132" t="inlineStr">
        <is>
          <t>E_aux</t>
        </is>
      </c>
      <c r="D132" t="n">
        <v>24360</v>
      </c>
      <c r="E132" t="inlineStr">
        <is>
          <t>MWh/y</t>
        </is>
      </c>
      <c r="F132" t="inlineStr">
        <is>
          <t>EF</t>
        </is>
      </c>
      <c r="G132" t="inlineStr">
        <is>
          <t>t-CO2/y</t>
        </is>
      </c>
      <c r="H132" t="inlineStr">
        <is>
          <t>FIXED</t>
        </is>
      </c>
      <c r="I132" t="inlineStr">
        <is>
          <t>E_aux x EF</t>
        </is>
      </c>
      <c r="J132" t="inlineStr">
        <is>
          <t>random through EF</t>
        </is>
      </c>
      <c r="K132" t="inlineStr">
        <is>
          <t>EF shared by all pathways</t>
        </is>
      </c>
      <c r="L132" t="inlineStr">
        <is>
          <t>none</t>
        </is>
      </c>
      <c r="M132" t="inlineStr">
        <is>
          <t>+</t>
        </is>
      </c>
      <c r="N132" t="inlineStr">
        <is>
          <t>harmonised inventory</t>
        </is>
      </c>
    </row>
    <row r="133">
      <c r="A133" t="inlineStr">
        <is>
          <t>G1</t>
        </is>
      </c>
      <c r="B133" t="inlineStr">
        <is>
          <t>Baseline electricity export</t>
        </is>
      </c>
      <c r="C133" t="inlineStr">
        <is>
          <t>E_exp_base</t>
        </is>
      </c>
      <c r="D133" t="n">
        <v>-43207</v>
      </c>
      <c r="E133" t="inlineStr">
        <is>
          <t>MWh/y</t>
        </is>
      </c>
      <c r="F133" t="inlineStr">
        <is>
          <t>EF</t>
        </is>
      </c>
      <c r="G133" t="inlineStr">
        <is>
          <t>t-CO2/y</t>
        </is>
      </c>
      <c r="H133" t="inlineStr">
        <is>
          <t>FIXED</t>
        </is>
      </c>
      <c r="I133" t="inlineStr">
        <is>
          <t>minus E_exp_base x EF</t>
        </is>
      </c>
      <c r="J133" t="inlineStr">
        <is>
          <t>random through EF</t>
        </is>
      </c>
      <c r="K133" t="inlineStr">
        <is>
          <t>EF shared by all pathways</t>
        </is>
      </c>
      <c r="L133" t="inlineStr">
        <is>
          <t>none</t>
        </is>
      </c>
      <c r="M133" t="inlineStr">
        <is>
          <t>-</t>
        </is>
      </c>
      <c r="N133" t="inlineStr">
        <is>
          <t>harmonised inventory</t>
        </is>
      </c>
    </row>
    <row r="134">
      <c r="A134" t="inlineStr">
        <is>
          <t>G1</t>
        </is>
      </c>
      <c r="B134" t="inlineStr">
        <is>
          <t>Steam generation burden</t>
        </is>
      </c>
      <c r="C134" t="inlineStr">
        <is>
          <t>n/a</t>
        </is>
      </c>
      <c r="D134" t="inlineStr">
        <is>
          <t>not separate</t>
        </is>
      </c>
      <c r="E134" t="inlineStr">
        <is>
          <t>MWh/y</t>
        </is>
      </c>
      <c r="F134" t="inlineStr">
        <is>
          <t>n/a</t>
        </is>
      </c>
      <c r="G134" t="inlineStr">
        <is>
          <t>t-CO2/y</t>
        </is>
      </c>
      <c r="H134" t="inlineStr">
        <is>
          <t>FIXED</t>
        </is>
      </c>
      <c r="I134" t="inlineStr">
        <is>
          <t>inside E_exp_base; same waste tonnage in every region</t>
        </is>
      </c>
      <c r="J134" t="inlineStr">
        <is>
          <t>deterministic</t>
        </is>
      </c>
      <c r="K134" t="inlineStr">
        <is>
          <t>shared by all pathways</t>
        </is>
      </c>
      <c r="L134" t="inlineStr">
        <is>
          <t>none</t>
        </is>
      </c>
      <c r="M134" t="inlineStr">
        <is>
          <t>n/a</t>
        </is>
      </c>
      <c r="N134" t="inlineStr">
        <is>
          <t>harmonised inventory</t>
        </is>
      </c>
    </row>
    <row r="135">
      <c r="A135" t="inlineStr">
        <is>
          <t>G1</t>
        </is>
      </c>
      <c r="B135" t="inlineStr">
        <is>
          <t>Steam-extraction export penalty</t>
        </is>
      </c>
      <c r="C135" t="inlineStr">
        <is>
          <t>P_steam</t>
        </is>
      </c>
      <c r="D135" t="n">
        <v>13087</v>
      </c>
      <c r="E135" t="inlineStr">
        <is>
          <t>MWh/y</t>
        </is>
      </c>
      <c r="F135" t="inlineStr">
        <is>
          <t>EF</t>
        </is>
      </c>
      <c r="G135" t="inlineStr">
        <is>
          <t>t-CO2/y</t>
        </is>
      </c>
      <c r="H135" t="inlineStr">
        <is>
          <t>CAP</t>
        </is>
      </c>
      <c r="I135" t="inlineStr">
        <is>
          <t>P_steam x s_cap x EF</t>
        </is>
      </c>
      <c r="J135" t="inlineStr">
        <is>
          <t>random through EF and cr</t>
        </is>
      </c>
      <c r="K135" t="inlineStr">
        <is>
          <t>EF and cr shared</t>
        </is>
      </c>
      <c r="L135" t="inlineStr">
        <is>
          <t>none</t>
        </is>
      </c>
      <c r="M135" t="inlineStr">
        <is>
          <t>+</t>
        </is>
      </c>
      <c r="N135" t="inlineStr">
        <is>
          <t>E_exp_base minus E_exp_cc</t>
        </is>
      </c>
    </row>
    <row r="136">
      <c r="A136" t="inlineStr">
        <is>
          <t>G1</t>
        </is>
      </c>
      <c r="B136" t="inlineStr">
        <is>
          <t>Capture electricity</t>
        </is>
      </c>
      <c r="C136" t="inlineStr">
        <is>
          <t>E_proc part</t>
        </is>
      </c>
      <c r="D136" t="inlineStr">
        <is>
          <t>inside E_proc</t>
        </is>
      </c>
      <c r="E136" t="inlineStr">
        <is>
          <t>MWh/y</t>
        </is>
      </c>
      <c r="F136" t="inlineStr">
        <is>
          <t>EF</t>
        </is>
      </c>
      <c r="G136" t="inlineStr">
        <is>
          <t>t-CO2/y</t>
        </is>
      </c>
      <c r="H136" t="inlineStr">
        <is>
          <t>CAP</t>
        </is>
      </c>
      <c r="I136" t="inlineStr">
        <is>
          <t>E_proc x s_cap x EF x m_el</t>
        </is>
      </c>
      <c r="J136" t="inlineStr">
        <is>
          <t>random</t>
        </is>
      </c>
      <c r="K136" t="inlineStr">
        <is>
          <t>m_el shared within family</t>
        </is>
      </c>
      <c r="L136" t="inlineStr">
        <is>
          <t>none</t>
        </is>
      </c>
      <c r="M136" t="inlineStr">
        <is>
          <t>+</t>
        </is>
      </c>
      <c r="N136" t="inlineStr">
        <is>
          <t>harmonised inventory</t>
        </is>
      </c>
    </row>
    <row r="137">
      <c r="A137" t="inlineStr">
        <is>
          <t>G1</t>
        </is>
      </c>
      <c r="B137" t="inlineStr">
        <is>
          <t>CO2 compression electricity</t>
        </is>
      </c>
      <c r="C137" t="inlineStr">
        <is>
          <t>E_proc part</t>
        </is>
      </c>
      <c r="D137" t="inlineStr">
        <is>
          <t>inside E_proc</t>
        </is>
      </c>
      <c r="E137" t="inlineStr">
        <is>
          <t>MWh/y</t>
        </is>
      </c>
      <c r="F137" t="inlineStr">
        <is>
          <t>EF</t>
        </is>
      </c>
      <c r="G137" t="inlineStr">
        <is>
          <t>t-CO2/y</t>
        </is>
      </c>
      <c r="H137" t="inlineStr">
        <is>
          <t>CAP</t>
        </is>
      </c>
      <c r="I137" t="inlineStr">
        <is>
          <t>E_proc x s_cap x EF x m_el</t>
        </is>
      </c>
      <c r="J137" t="inlineStr">
        <is>
          <t>random</t>
        </is>
      </c>
      <c r="K137" t="inlineStr">
        <is>
          <t>m_el shared within family</t>
        </is>
      </c>
      <c r="L137" t="inlineStr">
        <is>
          <t>none</t>
        </is>
      </c>
      <c r="M137" t="inlineStr">
        <is>
          <t>+</t>
        </is>
      </c>
      <c r="N137" t="inlineStr">
        <is>
          <t>harmonised inventory</t>
        </is>
      </c>
    </row>
    <row r="138">
      <c r="A138" t="inlineStr">
        <is>
          <t>G1</t>
        </is>
      </c>
      <c r="B138" t="inlineStr">
        <is>
          <t>Conversion electricity</t>
        </is>
      </c>
      <c r="C138" t="inlineStr">
        <is>
          <t>N/A</t>
        </is>
      </c>
      <c r="D138" t="inlineStr">
        <is>
          <t>N/A</t>
        </is>
      </c>
      <c r="E138" t="inlineStr">
        <is>
          <t>N/A</t>
        </is>
      </c>
      <c r="F138" t="inlineStr">
        <is>
          <t>N/A</t>
        </is>
      </c>
      <c r="G138" t="inlineStr">
        <is>
          <t>N/A</t>
        </is>
      </c>
      <c r="H138" t="inlineStr">
        <is>
          <t>N/A</t>
        </is>
      </c>
      <c r="I138" t="inlineStr">
        <is>
          <t>N/A</t>
        </is>
      </c>
      <c r="J138" t="inlineStr">
        <is>
          <t>N/A</t>
        </is>
      </c>
      <c r="K138" t="inlineStr">
        <is>
          <t>N/A</t>
        </is>
      </c>
      <c r="L138" t="inlineStr">
        <is>
          <t>N/A</t>
        </is>
      </c>
      <c r="M138" t="inlineStr">
        <is>
          <t>N/A</t>
        </is>
      </c>
      <c r="N138" t="inlineStr">
        <is>
          <t>N/A</t>
        </is>
      </c>
    </row>
    <row r="139">
      <c r="A139" t="inlineStr">
        <is>
          <t>G1</t>
        </is>
      </c>
      <c r="B139" t="inlineStr">
        <is>
          <t>Total capture, compression and conversion electricity</t>
        </is>
      </c>
      <c r="C139" t="inlineStr">
        <is>
          <t>E_proc</t>
        </is>
      </c>
      <c r="D139" t="n">
        <v>7380.789734989441</v>
      </c>
      <c r="E139" t="inlineStr">
        <is>
          <t>MWh/y</t>
        </is>
      </c>
      <c r="F139" t="inlineStr">
        <is>
          <t>EF</t>
        </is>
      </c>
      <c r="G139" t="inlineStr">
        <is>
          <t>t-CO2/y</t>
        </is>
      </c>
      <c r="H139" t="inlineStr">
        <is>
          <t>CAP</t>
        </is>
      </c>
      <c r="I139" t="inlineStr">
        <is>
          <t>E_proc x s_cap x EF x m_el</t>
        </is>
      </c>
      <c r="J139" t="inlineStr">
        <is>
          <t>random</t>
        </is>
      </c>
      <c r="K139" t="inlineStr">
        <is>
          <t>m_el shared within family</t>
        </is>
      </c>
      <c r="L139" t="inlineStr">
        <is>
          <t>none</t>
        </is>
      </c>
      <c r="M139" t="inlineStr">
        <is>
          <t>+</t>
        </is>
      </c>
      <c r="N139" t="inlineStr">
        <is>
          <t>harmonised inventory</t>
        </is>
      </c>
    </row>
    <row r="140">
      <c r="A140" t="inlineStr">
        <is>
          <t>G1</t>
        </is>
      </c>
      <c r="B140" t="inlineStr">
        <is>
          <t>Pyrolysis electricity</t>
        </is>
      </c>
      <c r="C140" t="inlineStr">
        <is>
          <t>N/A</t>
        </is>
      </c>
      <c r="D140" t="inlineStr">
        <is>
          <t>N/A</t>
        </is>
      </c>
      <c r="E140" t="inlineStr">
        <is>
          <t>N/A</t>
        </is>
      </c>
      <c r="F140" t="inlineStr">
        <is>
          <t>N/A</t>
        </is>
      </c>
      <c r="G140" t="inlineStr">
        <is>
          <t>N/A</t>
        </is>
      </c>
      <c r="H140" t="inlineStr">
        <is>
          <t>N/A</t>
        </is>
      </c>
      <c r="I140" t="inlineStr">
        <is>
          <t>N/A</t>
        </is>
      </c>
      <c r="J140" t="inlineStr">
        <is>
          <t>N/A</t>
        </is>
      </c>
      <c r="K140" t="inlineStr">
        <is>
          <t>N/A</t>
        </is>
      </c>
      <c r="L140" t="inlineStr">
        <is>
          <t>N/A</t>
        </is>
      </c>
      <c r="M140" t="inlineStr">
        <is>
          <t>N/A</t>
        </is>
      </c>
      <c r="N140" t="inlineStr">
        <is>
          <t>N/A</t>
        </is>
      </c>
    </row>
    <row r="141">
      <c r="A141" t="inlineStr">
        <is>
          <t>G1</t>
        </is>
      </c>
      <c r="B141" t="inlineStr">
        <is>
          <t>Hydrogen demand</t>
        </is>
      </c>
      <c r="C141" t="inlineStr">
        <is>
          <t>N/A</t>
        </is>
      </c>
      <c r="D141" t="inlineStr">
        <is>
          <t>N/A</t>
        </is>
      </c>
      <c r="E141" t="inlineStr">
        <is>
          <t>N/A</t>
        </is>
      </c>
      <c r="F141" t="inlineStr">
        <is>
          <t>N/A</t>
        </is>
      </c>
      <c r="G141" t="inlineStr">
        <is>
          <t>N/A</t>
        </is>
      </c>
      <c r="H141" t="inlineStr">
        <is>
          <t>N/A</t>
        </is>
      </c>
      <c r="I141" t="inlineStr">
        <is>
          <t>N/A</t>
        </is>
      </c>
      <c r="J141" t="inlineStr">
        <is>
          <t>N/A</t>
        </is>
      </c>
      <c r="K141" t="inlineStr">
        <is>
          <t>N/A</t>
        </is>
      </c>
      <c r="L141" t="inlineStr">
        <is>
          <t>N/A</t>
        </is>
      </c>
      <c r="M141" t="inlineStr">
        <is>
          <t>N/A</t>
        </is>
      </c>
      <c r="N141" t="inlineStr">
        <is>
          <t>N/A</t>
        </is>
      </c>
    </row>
    <row r="142">
      <c r="A142" t="inlineStr">
        <is>
          <t>G1</t>
        </is>
      </c>
      <c r="B142" t="inlineStr">
        <is>
          <t>Direct fossil-carbon emission</t>
        </is>
      </c>
      <c r="C142" t="inlineStr">
        <is>
          <t>F</t>
        </is>
      </c>
      <c r="D142" t="n">
        <v>26475.1872</v>
      </c>
      <c r="E142" t="inlineStr">
        <is>
          <t>t-CO2/y</t>
        </is>
      </c>
      <c r="F142" t="inlineStr">
        <is>
          <t>already CO2</t>
        </is>
      </c>
      <c r="G142" t="inlineStr">
        <is>
          <t>t-CO2/y</t>
        </is>
      </c>
      <c r="H142" t="inlineStr">
        <is>
          <t>CARBON</t>
        </is>
      </c>
      <c r="I142" t="inlineStr">
        <is>
          <t>enters phi; see the carbon-flow rows below</t>
        </is>
      </c>
      <c r="J142" t="inlineStr">
        <is>
          <t>random</t>
        </is>
      </c>
      <c r="K142" t="inlineStr">
        <is>
          <t>F shared by all pathways</t>
        </is>
      </c>
      <c r="L142" t="inlineStr">
        <is>
          <t>none</t>
        </is>
      </c>
      <c r="M142" t="inlineStr">
        <is>
          <t>+</t>
        </is>
      </c>
      <c r="N142" t="inlineStr">
        <is>
          <t>national waste survey</t>
        </is>
      </c>
    </row>
    <row r="143">
      <c r="A143" t="inlineStr">
        <is>
          <t>G1</t>
        </is>
      </c>
      <c r="B143" t="inlineStr">
        <is>
          <t>Uncaptured fossil fraction</t>
        </is>
      </c>
      <c r="C143" t="inlineStr">
        <is>
          <t>(1-cr) F</t>
        </is>
      </c>
      <c r="D143" t="inlineStr">
        <is>
          <t>applies</t>
        </is>
      </c>
      <c r="E143" t="inlineStr">
        <is>
          <t>t-CO2/y</t>
        </is>
      </c>
      <c r="F143" t="inlineStr">
        <is>
          <t>already CO2</t>
        </is>
      </c>
      <c r="G143" t="inlineStr">
        <is>
          <t>t-CO2/y</t>
        </is>
      </c>
      <c r="H143" t="inlineStr">
        <is>
          <t>CARBON</t>
        </is>
      </c>
      <c r="I143" t="inlineStr">
        <is>
          <t>(1 - cr) x F, charged exactly once</t>
        </is>
      </c>
      <c r="J143" t="inlineStr">
        <is>
          <t>random through cr</t>
        </is>
      </c>
      <c r="K143" t="inlineStr">
        <is>
          <t>cr shared by capture pathways</t>
        </is>
      </c>
      <c r="L143" t="inlineStr">
        <is>
          <t>none</t>
        </is>
      </c>
      <c r="M143" t="inlineStr">
        <is>
          <t>+</t>
        </is>
      </c>
      <c r="N143" t="inlineStr">
        <is>
          <t>model</t>
        </is>
      </c>
    </row>
    <row r="144">
      <c r="A144" t="inlineStr">
        <is>
          <t>G1</t>
        </is>
      </c>
      <c r="B144" t="inlineStr">
        <is>
          <t>Mineralization reactor loss</t>
        </is>
      </c>
      <c r="C144" t="inlineStr">
        <is>
          <t>N/A</t>
        </is>
      </c>
      <c r="D144" t="inlineStr">
        <is>
          <t>N/A</t>
        </is>
      </c>
      <c r="E144" t="inlineStr">
        <is>
          <t>N/A</t>
        </is>
      </c>
      <c r="F144" t="inlineStr">
        <is>
          <t>N/A</t>
        </is>
      </c>
      <c r="G144" t="inlineStr">
        <is>
          <t>N/A</t>
        </is>
      </c>
      <c r="H144" t="inlineStr">
        <is>
          <t>N/A</t>
        </is>
      </c>
      <c r="I144" t="inlineStr">
        <is>
          <t>N/A</t>
        </is>
      </c>
      <c r="J144" t="inlineStr">
        <is>
          <t>N/A</t>
        </is>
      </c>
      <c r="K144" t="inlineStr">
        <is>
          <t>N/A</t>
        </is>
      </c>
      <c r="L144" t="inlineStr">
        <is>
          <t>N/A</t>
        </is>
      </c>
      <c r="M144" t="inlineStr">
        <is>
          <t>N/A</t>
        </is>
      </c>
      <c r="N144" t="inlineStr">
        <is>
          <t>N/A</t>
        </is>
      </c>
    </row>
    <row r="145">
      <c r="A145" t="inlineStr">
        <is>
          <t>G1</t>
        </is>
      </c>
      <c r="B145" t="inlineStr">
        <is>
          <t>CCU process vent</t>
        </is>
      </c>
      <c r="C145" t="inlineStr">
        <is>
          <t>N/A</t>
        </is>
      </c>
      <c r="D145" t="inlineStr">
        <is>
          <t>N/A</t>
        </is>
      </c>
      <c r="E145" t="inlineStr">
        <is>
          <t>N/A</t>
        </is>
      </c>
      <c r="F145" t="inlineStr">
        <is>
          <t>N/A</t>
        </is>
      </c>
      <c r="G145" t="inlineStr">
        <is>
          <t>N/A</t>
        </is>
      </c>
      <c r="H145" t="inlineStr">
        <is>
          <t>N/A</t>
        </is>
      </c>
      <c r="I145" t="inlineStr">
        <is>
          <t>N/A</t>
        </is>
      </c>
      <c r="J145" t="inlineStr">
        <is>
          <t>N/A</t>
        </is>
      </c>
      <c r="K145" t="inlineStr">
        <is>
          <t>N/A</t>
        </is>
      </c>
      <c r="L145" t="inlineStr">
        <is>
          <t>N/A</t>
        </is>
      </c>
      <c r="M145" t="inlineStr">
        <is>
          <t>N/A</t>
        </is>
      </c>
      <c r="N145" t="inlineStr">
        <is>
          <t>N/A</t>
        </is>
      </c>
    </row>
    <row r="146">
      <c r="A146" t="inlineStr">
        <is>
          <t>G1</t>
        </is>
      </c>
      <c r="B146" t="inlineStr">
        <is>
          <t>Product output</t>
        </is>
      </c>
      <c r="C146" t="inlineStr">
        <is>
          <t>N/A</t>
        </is>
      </c>
      <c r="D146" t="inlineStr">
        <is>
          <t>N/A</t>
        </is>
      </c>
      <c r="E146" t="inlineStr">
        <is>
          <t>N/A</t>
        </is>
      </c>
      <c r="F146" t="inlineStr">
        <is>
          <t>N/A</t>
        </is>
      </c>
      <c r="G146" t="inlineStr">
        <is>
          <t>N/A</t>
        </is>
      </c>
      <c r="H146" t="inlineStr">
        <is>
          <t>N/A</t>
        </is>
      </c>
      <c r="I146" t="inlineStr">
        <is>
          <t>N/A</t>
        </is>
      </c>
      <c r="J146" t="inlineStr">
        <is>
          <t>N/A</t>
        </is>
      </c>
      <c r="K146" t="inlineStr">
        <is>
          <t>N/A</t>
        </is>
      </c>
      <c r="L146" t="inlineStr">
        <is>
          <t>N/A</t>
        </is>
      </c>
      <c r="M146" t="inlineStr">
        <is>
          <t>N/A</t>
        </is>
      </c>
      <c r="N146" t="inlineStr">
        <is>
          <t>N/A</t>
        </is>
      </c>
    </row>
    <row r="147">
      <c r="A147" t="inlineStr">
        <is>
          <t>G1</t>
        </is>
      </c>
      <c r="B147" t="inlineStr">
        <is>
          <t>Displaced-product burden (cradle-to-grave)</t>
        </is>
      </c>
      <c r="C147" t="inlineStr">
        <is>
          <t>N/A</t>
        </is>
      </c>
      <c r="D147" t="inlineStr">
        <is>
          <t>N/A</t>
        </is>
      </c>
      <c r="E147" t="inlineStr">
        <is>
          <t>N/A</t>
        </is>
      </c>
      <c r="F147" t="inlineStr">
        <is>
          <t>N/A</t>
        </is>
      </c>
      <c r="G147" t="inlineStr">
        <is>
          <t>N/A</t>
        </is>
      </c>
      <c r="H147" t="inlineStr">
        <is>
          <t>N/A</t>
        </is>
      </c>
      <c r="I147" t="inlineStr">
        <is>
          <t>N/A</t>
        </is>
      </c>
      <c r="J147" t="inlineStr">
        <is>
          <t>N/A</t>
        </is>
      </c>
      <c r="K147" t="inlineStr">
        <is>
          <t>N/A</t>
        </is>
      </c>
      <c r="L147" t="inlineStr">
        <is>
          <t>N/A</t>
        </is>
      </c>
      <c r="M147" t="inlineStr">
        <is>
          <t>N/A</t>
        </is>
      </c>
      <c r="N147" t="inlineStr">
        <is>
          <t>N/A</t>
        </is>
      </c>
    </row>
    <row r="148">
      <c r="A148" t="inlineStr">
        <is>
          <t>G1</t>
        </is>
      </c>
      <c r="B148" t="inlineStr">
        <is>
          <t>Product fossil-combustion charge</t>
        </is>
      </c>
      <c r="C148" t="inlineStr">
        <is>
          <t>N/A</t>
        </is>
      </c>
      <c r="D148" t="inlineStr">
        <is>
          <t>N/A</t>
        </is>
      </c>
      <c r="E148" t="inlineStr">
        <is>
          <t>N/A</t>
        </is>
      </c>
      <c r="F148" t="inlineStr">
        <is>
          <t>N/A</t>
        </is>
      </c>
      <c r="G148" t="inlineStr">
        <is>
          <t>N/A</t>
        </is>
      </c>
      <c r="H148" t="inlineStr">
        <is>
          <t>N/A</t>
        </is>
      </c>
      <c r="I148" t="inlineStr">
        <is>
          <t>N/A</t>
        </is>
      </c>
      <c r="J148" t="inlineStr">
        <is>
          <t>N/A</t>
        </is>
      </c>
      <c r="K148" t="inlineStr">
        <is>
          <t>N/A</t>
        </is>
      </c>
      <c r="L148" t="inlineStr">
        <is>
          <t>N/A</t>
        </is>
      </c>
      <c r="M148" t="inlineStr">
        <is>
          <t>N/A</t>
        </is>
      </c>
      <c r="N148" t="inlineStr">
        <is>
          <t>N/A</t>
        </is>
      </c>
    </row>
    <row r="149">
      <c r="A149" t="inlineStr">
        <is>
          <t>G1</t>
        </is>
      </c>
      <c r="B149" t="inlineStr">
        <is>
          <t>Diverted plastic carbon</t>
        </is>
      </c>
      <c r="C149" t="inlineStr">
        <is>
          <t>N/A</t>
        </is>
      </c>
      <c r="D149" t="inlineStr">
        <is>
          <t>N/A</t>
        </is>
      </c>
      <c r="E149" t="inlineStr">
        <is>
          <t>N/A</t>
        </is>
      </c>
      <c r="F149" t="inlineStr">
        <is>
          <t>N/A</t>
        </is>
      </c>
      <c r="G149" t="inlineStr">
        <is>
          <t>N/A</t>
        </is>
      </c>
      <c r="H149" t="inlineStr">
        <is>
          <t>N/A</t>
        </is>
      </c>
      <c r="I149" t="inlineStr">
        <is>
          <t>N/A</t>
        </is>
      </c>
      <c r="J149" t="inlineStr">
        <is>
          <t>N/A</t>
        </is>
      </c>
      <c r="K149" t="inlineStr">
        <is>
          <t>N/A</t>
        </is>
      </c>
      <c r="L149" t="inlineStr">
        <is>
          <t>N/A</t>
        </is>
      </c>
      <c r="M149" t="inlineStr">
        <is>
          <t>N/A</t>
        </is>
      </c>
      <c r="N149" t="inlineStr">
        <is>
          <t>N/A</t>
        </is>
      </c>
    </row>
    <row r="150">
      <c r="A150" t="inlineStr">
        <is>
          <t>G1</t>
        </is>
      </c>
      <c r="B150" t="inlineStr">
        <is>
          <t>Permanent geological storage</t>
        </is>
      </c>
      <c r="C150" t="inlineStr">
        <is>
          <t>S_fossil</t>
        </is>
      </c>
      <c r="D150" t="inlineStr">
        <is>
          <t>applies</t>
        </is>
      </c>
      <c r="E150" t="inlineStr">
        <is>
          <t>t-CO2/y</t>
        </is>
      </c>
      <c r="F150" t="inlineStr">
        <is>
          <t>already CO2</t>
        </is>
      </c>
      <c r="G150" t="inlineStr">
        <is>
          <t>t-CO2/y</t>
        </is>
      </c>
      <c r="H150" t="inlineStr">
        <is>
          <t>CARBON</t>
        </is>
      </c>
      <c r="I150" t="inlineStr">
        <is>
          <t>implicit: the retained fraction is simply never released, and is not credited a second time</t>
        </is>
      </c>
      <c r="J150" t="inlineStr">
        <is>
          <t>random through cr</t>
        </is>
      </c>
      <c r="K150" t="inlineStr">
        <is>
          <t>cr shared</t>
        </is>
      </c>
      <c r="L150" t="inlineStr">
        <is>
          <t>none</t>
        </is>
      </c>
      <c r="M150" t="inlineStr">
        <is>
          <t>n/a</t>
        </is>
      </c>
      <c r="N150" t="inlineStr">
        <is>
          <t>model</t>
        </is>
      </c>
    </row>
    <row r="151">
      <c r="A151" t="inlineStr">
        <is>
          <t>G1</t>
        </is>
      </c>
      <c r="B151" t="inlineStr">
        <is>
          <t>Temporary product storage</t>
        </is>
      </c>
      <c r="C151" t="inlineStr">
        <is>
          <t>N/A</t>
        </is>
      </c>
      <c r="D151" t="inlineStr">
        <is>
          <t>N/A</t>
        </is>
      </c>
      <c r="E151" t="inlineStr">
        <is>
          <t>N/A</t>
        </is>
      </c>
      <c r="F151" t="inlineStr">
        <is>
          <t>N/A</t>
        </is>
      </c>
      <c r="G151" t="inlineStr">
        <is>
          <t>N/A</t>
        </is>
      </c>
      <c r="H151" t="inlineStr">
        <is>
          <t>N/A</t>
        </is>
      </c>
      <c r="I151" t="inlineStr">
        <is>
          <t>N/A</t>
        </is>
      </c>
      <c r="J151" t="inlineStr">
        <is>
          <t>N/A</t>
        </is>
      </c>
      <c r="K151" t="inlineStr">
        <is>
          <t>N/A</t>
        </is>
      </c>
      <c r="L151" t="inlineStr">
        <is>
          <t>N/A</t>
        </is>
      </c>
      <c r="M151" t="inlineStr">
        <is>
          <t>N/A</t>
        </is>
      </c>
      <c r="N151" t="inlineStr">
        <is>
          <t>N/A</t>
        </is>
      </c>
    </row>
    <row r="152">
      <c r="A152" t="inlineStr">
        <is>
          <t>G1</t>
        </is>
      </c>
      <c r="B152" t="inlineStr">
        <is>
          <t>Final atmospheric release</t>
        </is>
      </c>
      <c r="C152" t="inlineStr">
        <is>
          <t>N/A</t>
        </is>
      </c>
      <c r="D152" t="inlineStr">
        <is>
          <t>N/A</t>
        </is>
      </c>
      <c r="E152" t="inlineStr">
        <is>
          <t>N/A</t>
        </is>
      </c>
      <c r="F152" t="inlineStr">
        <is>
          <t>N/A</t>
        </is>
      </c>
      <c r="G152" t="inlineStr">
        <is>
          <t>N/A</t>
        </is>
      </c>
      <c r="H152" t="inlineStr">
        <is>
          <t>N/A</t>
        </is>
      </c>
      <c r="I152" t="inlineStr">
        <is>
          <t>N/A</t>
        </is>
      </c>
      <c r="J152" t="inlineStr">
        <is>
          <t>N/A</t>
        </is>
      </c>
      <c r="K152" t="inlineStr">
        <is>
          <t>N/A</t>
        </is>
      </c>
      <c r="L152" t="inlineStr">
        <is>
          <t>N/A</t>
        </is>
      </c>
      <c r="M152" t="inlineStr">
        <is>
          <t>N/A</t>
        </is>
      </c>
      <c r="N152" t="inlineStr">
        <is>
          <t>N/A</t>
        </is>
      </c>
    </row>
    <row r="153">
      <c r="A153" t="inlineStr">
        <is>
          <t>G1</t>
        </is>
      </c>
      <c r="B153" t="inlineStr">
        <is>
          <t>Capture solvent burden (R1 explicit)</t>
        </is>
      </c>
      <c r="C153" t="inlineStr">
        <is>
          <t>R_p</t>
        </is>
      </c>
      <c r="D153" t="n">
        <v>1057.227651280685</v>
      </c>
      <c r="E153" t="inlineStr">
        <is>
          <t>t-CO2/y</t>
        </is>
      </c>
      <c r="F153" t="inlineStr">
        <is>
          <t>already CO2</t>
        </is>
      </c>
      <c r="G153" t="inlineStr">
        <is>
          <t>t-CO2/y</t>
        </is>
      </c>
      <c r="H153" t="inlineStr">
        <is>
          <t>CAP</t>
        </is>
      </c>
      <c r="I153" t="inlineStr">
        <is>
          <t>R_p x s_cap x m_reag</t>
        </is>
      </c>
      <c r="J153" t="inlineStr">
        <is>
          <t>random through m_reag</t>
        </is>
      </c>
      <c r="K153" t="inlineStr">
        <is>
          <t>m_reag shared by all capture pathways</t>
        </is>
      </c>
      <c r="L153" t="inlineStr">
        <is>
          <t>none</t>
        </is>
      </c>
      <c r="M153" t="inlineStr">
        <is>
          <t>+</t>
        </is>
      </c>
      <c r="N153" t="inlineStr">
        <is>
          <t>Bisinella et al. 2021, Table 4: 12 kg CO2-eq per t ww</t>
        </is>
      </c>
    </row>
    <row r="154">
      <c r="A154" t="inlineStr">
        <is>
          <t>G1</t>
        </is>
      </c>
      <c r="B154" t="inlineStr">
        <is>
          <t>Transport (R1 explicit: CO2 to storage / ore / slag / CO2 to synthesis)</t>
        </is>
      </c>
      <c r="C154" t="inlineStr">
        <is>
          <t>Tr_p</t>
        </is>
      </c>
      <c r="D154" t="n">
        <v>1567.494380479104</v>
      </c>
      <c r="E154" t="inlineStr">
        <is>
          <t>t-CO2/y</t>
        </is>
      </c>
      <c r="F154" t="inlineStr">
        <is>
          <t>already CO2</t>
        </is>
      </c>
      <c r="G154" t="inlineStr">
        <is>
          <t>t-CO2/y</t>
        </is>
      </c>
      <c r="H154" t="inlineStr">
        <is>
          <t>CAP</t>
        </is>
      </c>
      <c r="I154" t="inlineStr">
        <is>
          <t>Tr_p x s_cap x m_trans</t>
        </is>
      </c>
      <c r="J154" t="inlineStr">
        <is>
          <t>random through m_trans</t>
        </is>
      </c>
      <c r="K154" t="inlineStr">
        <is>
          <t>m_trans shared within capture family</t>
        </is>
      </c>
      <c r="L154" t="inlineStr">
        <is>
          <t>none</t>
        </is>
      </c>
      <c r="M154" t="inlineStr">
        <is>
          <t>+</t>
        </is>
      </c>
      <c r="N154" t="inlineStr">
        <is>
          <t>G: Bisinella et al. 2021 Section 2.4; M: source workbook t-km; U: source workbook</t>
        </is>
      </c>
    </row>
    <row r="155">
      <c r="A155" t="inlineStr">
        <is>
          <t>G1</t>
        </is>
      </c>
      <c r="B155" t="inlineStr">
        <is>
          <t>Product transport</t>
        </is>
      </c>
      <c r="C155" t="inlineStr">
        <is>
          <t>N/A</t>
        </is>
      </c>
      <c r="D155" t="inlineStr">
        <is>
          <t>N/A</t>
        </is>
      </c>
      <c r="E155" t="inlineStr">
        <is>
          <t>N/A</t>
        </is>
      </c>
      <c r="F155" t="inlineStr">
        <is>
          <t>N/A</t>
        </is>
      </c>
      <c r="G155" t="inlineStr">
        <is>
          <t>N/A</t>
        </is>
      </c>
      <c r="H155" t="inlineStr">
        <is>
          <t>N/A</t>
        </is>
      </c>
      <c r="I155" t="inlineStr">
        <is>
          <t>N/A</t>
        </is>
      </c>
      <c r="J155" t="inlineStr">
        <is>
          <t>N/A</t>
        </is>
      </c>
      <c r="K155" t="inlineStr">
        <is>
          <t>N/A</t>
        </is>
      </c>
      <c r="L155" t="inlineStr">
        <is>
          <t>N/A</t>
        </is>
      </c>
      <c r="M155" t="inlineStr">
        <is>
          <t>N/A</t>
        </is>
      </c>
      <c r="N155" t="inlineStr">
        <is>
          <t>N/A</t>
        </is>
      </c>
    </row>
    <row r="156">
      <c r="A156" t="inlineStr">
        <is>
          <t>G1</t>
        </is>
      </c>
      <c r="B156" t="inlineStr">
        <is>
          <t>Capital-related burdens</t>
        </is>
      </c>
      <c r="C156" t="inlineStr">
        <is>
          <t>C_cap</t>
        </is>
      </c>
      <c r="D156" t="inlineStr">
        <is>
          <t>inside residual</t>
        </is>
      </c>
      <c r="E156" t="inlineStr">
        <is>
          <t>t-CO2/y</t>
        </is>
      </c>
      <c r="F156" t="inlineStr">
        <is>
          <t>annualised</t>
        </is>
      </c>
      <c r="G156" t="inlineStr">
        <is>
          <t>t-CO2/y</t>
        </is>
      </c>
      <c r="H156" t="inlineStr">
        <is>
          <t>RESIDUAL</t>
        </is>
      </c>
      <c r="I156" t="inlineStr">
        <is>
          <t>annualised, held at its national value, x m_rem</t>
        </is>
      </c>
      <c r="J156" t="inlineStr">
        <is>
          <t>random through m_rem</t>
        </is>
      </c>
      <c r="K156" t="inlineStr">
        <is>
          <t>pathway-specific</t>
        </is>
      </c>
      <c r="L156" t="inlineStr">
        <is>
          <t>none</t>
        </is>
      </c>
      <c r="M156" t="inlineStr">
        <is>
          <t>+</t>
        </is>
      </c>
      <c r="N156" t="inlineStr">
        <is>
          <t>calibrated remainder</t>
        </is>
      </c>
    </row>
    <row r="157">
      <c r="A157" t="inlineStr">
        <is>
          <t>G1</t>
        </is>
      </c>
      <c r="B157" t="inlineStr">
        <is>
          <t>Calibrated residual, total</t>
        </is>
      </c>
      <c r="C157" t="inlineStr">
        <is>
          <t>C_p</t>
        </is>
      </c>
      <c r="D157" t="n">
        <v>980.1</v>
      </c>
      <c r="E157" t="inlineStr">
        <is>
          <t>t-CO2/y</t>
        </is>
      </c>
      <c r="F157" t="inlineStr">
        <is>
          <t>already CO2</t>
        </is>
      </c>
      <c r="G157" t="inlineStr">
        <is>
          <t>t-CO2/y</t>
        </is>
      </c>
      <c r="H157" t="inlineStr">
        <is>
          <t>RESIDUAL</t>
        </is>
      </c>
      <c r="I157" t="inlineStr">
        <is>
          <t>C_p x m_rem</t>
        </is>
      </c>
      <c r="J157" t="inlineStr">
        <is>
          <t>random through m_rem</t>
        </is>
      </c>
      <c r="K157" t="inlineStr">
        <is>
          <t>pathway-specific</t>
        </is>
      </c>
      <c r="L157" t="inlineStr">
        <is>
          <t>shifts with the anchor under B</t>
        </is>
      </c>
      <c r="M157" t="inlineStr">
        <is>
          <t>+/-</t>
        </is>
      </c>
      <c r="N157" t="inlineStr">
        <is>
          <t>verified national value minus the explicit groups</t>
        </is>
      </c>
    </row>
    <row r="158">
      <c r="A158" t="inlineStr">
        <is>
          <t>G2</t>
        </is>
      </c>
      <c r="B158" t="inlineStr">
        <is>
          <t>Plant auxiliary electricity</t>
        </is>
      </c>
      <c r="C158" t="inlineStr">
        <is>
          <t>E_aux</t>
        </is>
      </c>
      <c r="D158" t="n">
        <v>24360</v>
      </c>
      <c r="E158" t="inlineStr">
        <is>
          <t>MWh/y</t>
        </is>
      </c>
      <c r="F158" t="inlineStr">
        <is>
          <t>EF</t>
        </is>
      </c>
      <c r="G158" t="inlineStr">
        <is>
          <t>t-CO2/y</t>
        </is>
      </c>
      <c r="H158" t="inlineStr">
        <is>
          <t>FIXED</t>
        </is>
      </c>
      <c r="I158" t="inlineStr">
        <is>
          <t>E_aux x EF</t>
        </is>
      </c>
      <c r="J158" t="inlineStr">
        <is>
          <t>random through EF</t>
        </is>
      </c>
      <c r="K158" t="inlineStr">
        <is>
          <t>EF shared by all pathways</t>
        </is>
      </c>
      <c r="L158" t="inlineStr">
        <is>
          <t>none</t>
        </is>
      </c>
      <c r="M158" t="inlineStr">
        <is>
          <t>+</t>
        </is>
      </c>
      <c r="N158" t="inlineStr">
        <is>
          <t>harmonised inventory</t>
        </is>
      </c>
    </row>
    <row r="159">
      <c r="A159" t="inlineStr">
        <is>
          <t>G2</t>
        </is>
      </c>
      <c r="B159" t="inlineStr">
        <is>
          <t>Baseline electricity export</t>
        </is>
      </c>
      <c r="C159" t="inlineStr">
        <is>
          <t>E_exp_base</t>
        </is>
      </c>
      <c r="D159" t="n">
        <v>-43207</v>
      </c>
      <c r="E159" t="inlineStr">
        <is>
          <t>MWh/y</t>
        </is>
      </c>
      <c r="F159" t="inlineStr">
        <is>
          <t>EF</t>
        </is>
      </c>
      <c r="G159" t="inlineStr">
        <is>
          <t>t-CO2/y</t>
        </is>
      </c>
      <c r="H159" t="inlineStr">
        <is>
          <t>FIXED</t>
        </is>
      </c>
      <c r="I159" t="inlineStr">
        <is>
          <t>minus E_exp_base x EF</t>
        </is>
      </c>
      <c r="J159" t="inlineStr">
        <is>
          <t>random through EF</t>
        </is>
      </c>
      <c r="K159" t="inlineStr">
        <is>
          <t>EF shared by all pathways</t>
        </is>
      </c>
      <c r="L159" t="inlineStr">
        <is>
          <t>none</t>
        </is>
      </c>
      <c r="M159" t="inlineStr">
        <is>
          <t>-</t>
        </is>
      </c>
      <c r="N159" t="inlineStr">
        <is>
          <t>harmonised inventory</t>
        </is>
      </c>
    </row>
    <row r="160">
      <c r="A160" t="inlineStr">
        <is>
          <t>G2</t>
        </is>
      </c>
      <c r="B160" t="inlineStr">
        <is>
          <t>Steam generation burden</t>
        </is>
      </c>
      <c r="C160" t="inlineStr">
        <is>
          <t>n/a</t>
        </is>
      </c>
      <c r="D160" t="inlineStr">
        <is>
          <t>not separate</t>
        </is>
      </c>
      <c r="E160" t="inlineStr">
        <is>
          <t>MWh/y</t>
        </is>
      </c>
      <c r="F160" t="inlineStr">
        <is>
          <t>n/a</t>
        </is>
      </c>
      <c r="G160" t="inlineStr">
        <is>
          <t>t-CO2/y</t>
        </is>
      </c>
      <c r="H160" t="inlineStr">
        <is>
          <t>FIXED</t>
        </is>
      </c>
      <c r="I160" t="inlineStr">
        <is>
          <t>inside E_exp_base; same waste tonnage in every region</t>
        </is>
      </c>
      <c r="J160" t="inlineStr">
        <is>
          <t>deterministic</t>
        </is>
      </c>
      <c r="K160" t="inlineStr">
        <is>
          <t>shared by all pathways</t>
        </is>
      </c>
      <c r="L160" t="inlineStr">
        <is>
          <t>none</t>
        </is>
      </c>
      <c r="M160" t="inlineStr">
        <is>
          <t>n/a</t>
        </is>
      </c>
      <c r="N160" t="inlineStr">
        <is>
          <t>harmonised inventory</t>
        </is>
      </c>
    </row>
    <row r="161">
      <c r="A161" t="inlineStr">
        <is>
          <t>G2</t>
        </is>
      </c>
      <c r="B161" t="inlineStr">
        <is>
          <t>Steam-extraction export penalty</t>
        </is>
      </c>
      <c r="C161" t="inlineStr">
        <is>
          <t>P_steam</t>
        </is>
      </c>
      <c r="D161" t="n">
        <v>13087</v>
      </c>
      <c r="E161" t="inlineStr">
        <is>
          <t>MWh/y</t>
        </is>
      </c>
      <c r="F161" t="inlineStr">
        <is>
          <t>EF</t>
        </is>
      </c>
      <c r="G161" t="inlineStr">
        <is>
          <t>t-CO2/y</t>
        </is>
      </c>
      <c r="H161" t="inlineStr">
        <is>
          <t>CAP</t>
        </is>
      </c>
      <c r="I161" t="inlineStr">
        <is>
          <t>P_steam x s_cap x EF</t>
        </is>
      </c>
      <c r="J161" t="inlineStr">
        <is>
          <t>random through EF and cr</t>
        </is>
      </c>
      <c r="K161" t="inlineStr">
        <is>
          <t>EF and cr shared</t>
        </is>
      </c>
      <c r="L161" t="inlineStr">
        <is>
          <t>none</t>
        </is>
      </c>
      <c r="M161" t="inlineStr">
        <is>
          <t>+</t>
        </is>
      </c>
      <c r="N161" t="inlineStr">
        <is>
          <t>E_exp_base minus E_exp_cc</t>
        </is>
      </c>
    </row>
    <row r="162">
      <c r="A162" t="inlineStr">
        <is>
          <t>G2</t>
        </is>
      </c>
      <c r="B162" t="inlineStr">
        <is>
          <t>Capture electricity</t>
        </is>
      </c>
      <c r="C162" t="inlineStr">
        <is>
          <t>E_proc part</t>
        </is>
      </c>
      <c r="D162" t="inlineStr">
        <is>
          <t>inside E_proc</t>
        </is>
      </c>
      <c r="E162" t="inlineStr">
        <is>
          <t>MWh/y</t>
        </is>
      </c>
      <c r="F162" t="inlineStr">
        <is>
          <t>EF</t>
        </is>
      </c>
      <c r="G162" t="inlineStr">
        <is>
          <t>t-CO2/y</t>
        </is>
      </c>
      <c r="H162" t="inlineStr">
        <is>
          <t>CAP</t>
        </is>
      </c>
      <c r="I162" t="inlineStr">
        <is>
          <t>E_proc x s_cap x EF x m_el</t>
        </is>
      </c>
      <c r="J162" t="inlineStr">
        <is>
          <t>random</t>
        </is>
      </c>
      <c r="K162" t="inlineStr">
        <is>
          <t>m_el shared within family</t>
        </is>
      </c>
      <c r="L162" t="inlineStr">
        <is>
          <t>none</t>
        </is>
      </c>
      <c r="M162" t="inlineStr">
        <is>
          <t>+</t>
        </is>
      </c>
      <c r="N162" t="inlineStr">
        <is>
          <t>harmonised inventory</t>
        </is>
      </c>
    </row>
    <row r="163">
      <c r="A163" t="inlineStr">
        <is>
          <t>G2</t>
        </is>
      </c>
      <c r="B163" t="inlineStr">
        <is>
          <t>CO2 compression electricity</t>
        </is>
      </c>
      <c r="C163" t="inlineStr">
        <is>
          <t>E_proc part</t>
        </is>
      </c>
      <c r="D163" t="inlineStr">
        <is>
          <t>inside E_proc</t>
        </is>
      </c>
      <c r="E163" t="inlineStr">
        <is>
          <t>MWh/y</t>
        </is>
      </c>
      <c r="F163" t="inlineStr">
        <is>
          <t>EF</t>
        </is>
      </c>
      <c r="G163" t="inlineStr">
        <is>
          <t>t-CO2/y</t>
        </is>
      </c>
      <c r="H163" t="inlineStr">
        <is>
          <t>CAP</t>
        </is>
      </c>
      <c r="I163" t="inlineStr">
        <is>
          <t>E_proc x s_cap x EF x m_el</t>
        </is>
      </c>
      <c r="J163" t="inlineStr">
        <is>
          <t>random</t>
        </is>
      </c>
      <c r="K163" t="inlineStr">
        <is>
          <t>m_el shared within family</t>
        </is>
      </c>
      <c r="L163" t="inlineStr">
        <is>
          <t>none</t>
        </is>
      </c>
      <c r="M163" t="inlineStr">
        <is>
          <t>+</t>
        </is>
      </c>
      <c r="N163" t="inlineStr">
        <is>
          <t>harmonised inventory</t>
        </is>
      </c>
    </row>
    <row r="164">
      <c r="A164" t="inlineStr">
        <is>
          <t>G2</t>
        </is>
      </c>
      <c r="B164" t="inlineStr">
        <is>
          <t>Conversion electricity</t>
        </is>
      </c>
      <c r="C164" t="inlineStr">
        <is>
          <t>N/A</t>
        </is>
      </c>
      <c r="D164" t="inlineStr">
        <is>
          <t>N/A</t>
        </is>
      </c>
      <c r="E164" t="inlineStr">
        <is>
          <t>N/A</t>
        </is>
      </c>
      <c r="F164" t="inlineStr">
        <is>
          <t>N/A</t>
        </is>
      </c>
      <c r="G164" t="inlineStr">
        <is>
          <t>N/A</t>
        </is>
      </c>
      <c r="H164" t="inlineStr">
        <is>
          <t>N/A</t>
        </is>
      </c>
      <c r="I164" t="inlineStr">
        <is>
          <t>N/A</t>
        </is>
      </c>
      <c r="J164" t="inlineStr">
        <is>
          <t>N/A</t>
        </is>
      </c>
      <c r="K164" t="inlineStr">
        <is>
          <t>N/A</t>
        </is>
      </c>
      <c r="L164" t="inlineStr">
        <is>
          <t>N/A</t>
        </is>
      </c>
      <c r="M164" t="inlineStr">
        <is>
          <t>N/A</t>
        </is>
      </c>
      <c r="N164" t="inlineStr">
        <is>
          <t>N/A</t>
        </is>
      </c>
    </row>
    <row r="165">
      <c r="A165" t="inlineStr">
        <is>
          <t>G2</t>
        </is>
      </c>
      <c r="B165" t="inlineStr">
        <is>
          <t>Total capture, compression and conversion electricity</t>
        </is>
      </c>
      <c r="C165" t="inlineStr">
        <is>
          <t>E_proc</t>
        </is>
      </c>
      <c r="D165" t="n">
        <v>7515.10801952064</v>
      </c>
      <c r="E165" t="inlineStr">
        <is>
          <t>MWh/y</t>
        </is>
      </c>
      <c r="F165" t="inlineStr">
        <is>
          <t>EF</t>
        </is>
      </c>
      <c r="G165" t="inlineStr">
        <is>
          <t>t-CO2/y</t>
        </is>
      </c>
      <c r="H165" t="inlineStr">
        <is>
          <t>CAP</t>
        </is>
      </c>
      <c r="I165" t="inlineStr">
        <is>
          <t>E_proc x s_cap x EF x m_el</t>
        </is>
      </c>
      <c r="J165" t="inlineStr">
        <is>
          <t>random</t>
        </is>
      </c>
      <c r="K165" t="inlineStr">
        <is>
          <t>m_el shared within family</t>
        </is>
      </c>
      <c r="L165" t="inlineStr">
        <is>
          <t>none</t>
        </is>
      </c>
      <c r="M165" t="inlineStr">
        <is>
          <t>+</t>
        </is>
      </c>
      <c r="N165" t="inlineStr">
        <is>
          <t>harmonised inventory</t>
        </is>
      </c>
    </row>
    <row r="166">
      <c r="A166" t="inlineStr">
        <is>
          <t>G2</t>
        </is>
      </c>
      <c r="B166" t="inlineStr">
        <is>
          <t>Pyrolysis electricity</t>
        </is>
      </c>
      <c r="C166" t="inlineStr">
        <is>
          <t>N/A</t>
        </is>
      </c>
      <c r="D166" t="inlineStr">
        <is>
          <t>N/A</t>
        </is>
      </c>
      <c r="E166" t="inlineStr">
        <is>
          <t>N/A</t>
        </is>
      </c>
      <c r="F166" t="inlineStr">
        <is>
          <t>N/A</t>
        </is>
      </c>
      <c r="G166" t="inlineStr">
        <is>
          <t>N/A</t>
        </is>
      </c>
      <c r="H166" t="inlineStr">
        <is>
          <t>N/A</t>
        </is>
      </c>
      <c r="I166" t="inlineStr">
        <is>
          <t>N/A</t>
        </is>
      </c>
      <c r="J166" t="inlineStr">
        <is>
          <t>N/A</t>
        </is>
      </c>
      <c r="K166" t="inlineStr">
        <is>
          <t>N/A</t>
        </is>
      </c>
      <c r="L166" t="inlineStr">
        <is>
          <t>N/A</t>
        </is>
      </c>
      <c r="M166" t="inlineStr">
        <is>
          <t>N/A</t>
        </is>
      </c>
      <c r="N166" t="inlineStr">
        <is>
          <t>N/A</t>
        </is>
      </c>
    </row>
    <row r="167">
      <c r="A167" t="inlineStr">
        <is>
          <t>G2</t>
        </is>
      </c>
      <c r="B167" t="inlineStr">
        <is>
          <t>Hydrogen demand</t>
        </is>
      </c>
      <c r="C167" t="inlineStr">
        <is>
          <t>N/A</t>
        </is>
      </c>
      <c r="D167" t="inlineStr">
        <is>
          <t>N/A</t>
        </is>
      </c>
      <c r="E167" t="inlineStr">
        <is>
          <t>N/A</t>
        </is>
      </c>
      <c r="F167" t="inlineStr">
        <is>
          <t>N/A</t>
        </is>
      </c>
      <c r="G167" t="inlineStr">
        <is>
          <t>N/A</t>
        </is>
      </c>
      <c r="H167" t="inlineStr">
        <is>
          <t>N/A</t>
        </is>
      </c>
      <c r="I167" t="inlineStr">
        <is>
          <t>N/A</t>
        </is>
      </c>
      <c r="J167" t="inlineStr">
        <is>
          <t>N/A</t>
        </is>
      </c>
      <c r="K167" t="inlineStr">
        <is>
          <t>N/A</t>
        </is>
      </c>
      <c r="L167" t="inlineStr">
        <is>
          <t>N/A</t>
        </is>
      </c>
      <c r="M167" t="inlineStr">
        <is>
          <t>N/A</t>
        </is>
      </c>
      <c r="N167" t="inlineStr">
        <is>
          <t>N/A</t>
        </is>
      </c>
    </row>
    <row r="168">
      <c r="A168" t="inlineStr">
        <is>
          <t>G2</t>
        </is>
      </c>
      <c r="B168" t="inlineStr">
        <is>
          <t>Direct fossil-carbon emission</t>
        </is>
      </c>
      <c r="C168" t="inlineStr">
        <is>
          <t>F</t>
        </is>
      </c>
      <c r="D168" t="n">
        <v>26475.1872</v>
      </c>
      <c r="E168" t="inlineStr">
        <is>
          <t>t-CO2/y</t>
        </is>
      </c>
      <c r="F168" t="inlineStr">
        <is>
          <t>already CO2</t>
        </is>
      </c>
      <c r="G168" t="inlineStr">
        <is>
          <t>t-CO2/y</t>
        </is>
      </c>
      <c r="H168" t="inlineStr">
        <is>
          <t>CARBON</t>
        </is>
      </c>
      <c r="I168" t="inlineStr">
        <is>
          <t>enters phi; see the carbon-flow rows below</t>
        </is>
      </c>
      <c r="J168" t="inlineStr">
        <is>
          <t>random</t>
        </is>
      </c>
      <c r="K168" t="inlineStr">
        <is>
          <t>F shared by all pathways</t>
        </is>
      </c>
      <c r="L168" t="inlineStr">
        <is>
          <t>none</t>
        </is>
      </c>
      <c r="M168" t="inlineStr">
        <is>
          <t>+</t>
        </is>
      </c>
      <c r="N168" t="inlineStr">
        <is>
          <t>national waste survey</t>
        </is>
      </c>
    </row>
    <row r="169">
      <c r="A169" t="inlineStr">
        <is>
          <t>G2</t>
        </is>
      </c>
      <c r="B169" t="inlineStr">
        <is>
          <t>Uncaptured fossil fraction</t>
        </is>
      </c>
      <c r="C169" t="inlineStr">
        <is>
          <t>(1-cr) F</t>
        </is>
      </c>
      <c r="D169" t="inlineStr">
        <is>
          <t>applies</t>
        </is>
      </c>
      <c r="E169" t="inlineStr">
        <is>
          <t>t-CO2/y</t>
        </is>
      </c>
      <c r="F169" t="inlineStr">
        <is>
          <t>already CO2</t>
        </is>
      </c>
      <c r="G169" t="inlineStr">
        <is>
          <t>t-CO2/y</t>
        </is>
      </c>
      <c r="H169" t="inlineStr">
        <is>
          <t>CARBON</t>
        </is>
      </c>
      <c r="I169" t="inlineStr">
        <is>
          <t>(1 - cr) x F, charged exactly once</t>
        </is>
      </c>
      <c r="J169" t="inlineStr">
        <is>
          <t>random through cr</t>
        </is>
      </c>
      <c r="K169" t="inlineStr">
        <is>
          <t>cr shared by capture pathways</t>
        </is>
      </c>
      <c r="L169" t="inlineStr">
        <is>
          <t>none</t>
        </is>
      </c>
      <c r="M169" t="inlineStr">
        <is>
          <t>+</t>
        </is>
      </c>
      <c r="N169" t="inlineStr">
        <is>
          <t>model</t>
        </is>
      </c>
    </row>
    <row r="170">
      <c r="A170" t="inlineStr">
        <is>
          <t>G2</t>
        </is>
      </c>
      <c r="B170" t="inlineStr">
        <is>
          <t>Mineralization reactor loss</t>
        </is>
      </c>
      <c r="C170" t="inlineStr">
        <is>
          <t>N/A</t>
        </is>
      </c>
      <c r="D170" t="inlineStr">
        <is>
          <t>N/A</t>
        </is>
      </c>
      <c r="E170" t="inlineStr">
        <is>
          <t>N/A</t>
        </is>
      </c>
      <c r="F170" t="inlineStr">
        <is>
          <t>N/A</t>
        </is>
      </c>
      <c r="G170" t="inlineStr">
        <is>
          <t>N/A</t>
        </is>
      </c>
      <c r="H170" t="inlineStr">
        <is>
          <t>N/A</t>
        </is>
      </c>
      <c r="I170" t="inlineStr">
        <is>
          <t>N/A</t>
        </is>
      </c>
      <c r="J170" t="inlineStr">
        <is>
          <t>N/A</t>
        </is>
      </c>
      <c r="K170" t="inlineStr">
        <is>
          <t>N/A</t>
        </is>
      </c>
      <c r="L170" t="inlineStr">
        <is>
          <t>N/A</t>
        </is>
      </c>
      <c r="M170" t="inlineStr">
        <is>
          <t>N/A</t>
        </is>
      </c>
      <c r="N170" t="inlineStr">
        <is>
          <t>N/A</t>
        </is>
      </c>
    </row>
    <row r="171">
      <c r="A171" t="inlineStr">
        <is>
          <t>G2</t>
        </is>
      </c>
      <c r="B171" t="inlineStr">
        <is>
          <t>CCU process vent</t>
        </is>
      </c>
      <c r="C171" t="inlineStr">
        <is>
          <t>N/A</t>
        </is>
      </c>
      <c r="D171" t="inlineStr">
        <is>
          <t>N/A</t>
        </is>
      </c>
      <c r="E171" t="inlineStr">
        <is>
          <t>N/A</t>
        </is>
      </c>
      <c r="F171" t="inlineStr">
        <is>
          <t>N/A</t>
        </is>
      </c>
      <c r="G171" t="inlineStr">
        <is>
          <t>N/A</t>
        </is>
      </c>
      <c r="H171" t="inlineStr">
        <is>
          <t>N/A</t>
        </is>
      </c>
      <c r="I171" t="inlineStr">
        <is>
          <t>N/A</t>
        </is>
      </c>
      <c r="J171" t="inlineStr">
        <is>
          <t>N/A</t>
        </is>
      </c>
      <c r="K171" t="inlineStr">
        <is>
          <t>N/A</t>
        </is>
      </c>
      <c r="L171" t="inlineStr">
        <is>
          <t>N/A</t>
        </is>
      </c>
      <c r="M171" t="inlineStr">
        <is>
          <t>N/A</t>
        </is>
      </c>
      <c r="N171" t="inlineStr">
        <is>
          <t>N/A</t>
        </is>
      </c>
    </row>
    <row r="172">
      <c r="A172" t="inlineStr">
        <is>
          <t>G2</t>
        </is>
      </c>
      <c r="B172" t="inlineStr">
        <is>
          <t>Product output</t>
        </is>
      </c>
      <c r="C172" t="inlineStr">
        <is>
          <t>N/A</t>
        </is>
      </c>
      <c r="D172" t="inlineStr">
        <is>
          <t>N/A</t>
        </is>
      </c>
      <c r="E172" t="inlineStr">
        <is>
          <t>N/A</t>
        </is>
      </c>
      <c r="F172" t="inlineStr">
        <is>
          <t>N/A</t>
        </is>
      </c>
      <c r="G172" t="inlineStr">
        <is>
          <t>N/A</t>
        </is>
      </c>
      <c r="H172" t="inlineStr">
        <is>
          <t>N/A</t>
        </is>
      </c>
      <c r="I172" t="inlineStr">
        <is>
          <t>N/A</t>
        </is>
      </c>
      <c r="J172" t="inlineStr">
        <is>
          <t>N/A</t>
        </is>
      </c>
      <c r="K172" t="inlineStr">
        <is>
          <t>N/A</t>
        </is>
      </c>
      <c r="L172" t="inlineStr">
        <is>
          <t>N/A</t>
        </is>
      </c>
      <c r="M172" t="inlineStr">
        <is>
          <t>N/A</t>
        </is>
      </c>
      <c r="N172" t="inlineStr">
        <is>
          <t>N/A</t>
        </is>
      </c>
    </row>
    <row r="173">
      <c r="A173" t="inlineStr">
        <is>
          <t>G2</t>
        </is>
      </c>
      <c r="B173" t="inlineStr">
        <is>
          <t>Displaced-product burden (cradle-to-grave)</t>
        </is>
      </c>
      <c r="C173" t="inlineStr">
        <is>
          <t>N/A</t>
        </is>
      </c>
      <c r="D173" t="inlineStr">
        <is>
          <t>N/A</t>
        </is>
      </c>
      <c r="E173" t="inlineStr">
        <is>
          <t>N/A</t>
        </is>
      </c>
      <c r="F173" t="inlineStr">
        <is>
          <t>N/A</t>
        </is>
      </c>
      <c r="G173" t="inlineStr">
        <is>
          <t>N/A</t>
        </is>
      </c>
      <c r="H173" t="inlineStr">
        <is>
          <t>N/A</t>
        </is>
      </c>
      <c r="I173" t="inlineStr">
        <is>
          <t>N/A</t>
        </is>
      </c>
      <c r="J173" t="inlineStr">
        <is>
          <t>N/A</t>
        </is>
      </c>
      <c r="K173" t="inlineStr">
        <is>
          <t>N/A</t>
        </is>
      </c>
      <c r="L173" t="inlineStr">
        <is>
          <t>N/A</t>
        </is>
      </c>
      <c r="M173" t="inlineStr">
        <is>
          <t>N/A</t>
        </is>
      </c>
      <c r="N173" t="inlineStr">
        <is>
          <t>N/A</t>
        </is>
      </c>
    </row>
    <row r="174">
      <c r="A174" t="inlineStr">
        <is>
          <t>G2</t>
        </is>
      </c>
      <c r="B174" t="inlineStr">
        <is>
          <t>Product fossil-combustion charge</t>
        </is>
      </c>
      <c r="C174" t="inlineStr">
        <is>
          <t>N/A</t>
        </is>
      </c>
      <c r="D174" t="inlineStr">
        <is>
          <t>N/A</t>
        </is>
      </c>
      <c r="E174" t="inlineStr">
        <is>
          <t>N/A</t>
        </is>
      </c>
      <c r="F174" t="inlineStr">
        <is>
          <t>N/A</t>
        </is>
      </c>
      <c r="G174" t="inlineStr">
        <is>
          <t>N/A</t>
        </is>
      </c>
      <c r="H174" t="inlineStr">
        <is>
          <t>N/A</t>
        </is>
      </c>
      <c r="I174" t="inlineStr">
        <is>
          <t>N/A</t>
        </is>
      </c>
      <c r="J174" t="inlineStr">
        <is>
          <t>N/A</t>
        </is>
      </c>
      <c r="K174" t="inlineStr">
        <is>
          <t>N/A</t>
        </is>
      </c>
      <c r="L174" t="inlineStr">
        <is>
          <t>N/A</t>
        </is>
      </c>
      <c r="M174" t="inlineStr">
        <is>
          <t>N/A</t>
        </is>
      </c>
      <c r="N174" t="inlineStr">
        <is>
          <t>N/A</t>
        </is>
      </c>
    </row>
    <row r="175">
      <c r="A175" t="inlineStr">
        <is>
          <t>G2</t>
        </is>
      </c>
      <c r="B175" t="inlineStr">
        <is>
          <t>Diverted plastic carbon</t>
        </is>
      </c>
      <c r="C175" t="inlineStr">
        <is>
          <t>N/A</t>
        </is>
      </c>
      <c r="D175" t="inlineStr">
        <is>
          <t>N/A</t>
        </is>
      </c>
      <c r="E175" t="inlineStr">
        <is>
          <t>N/A</t>
        </is>
      </c>
      <c r="F175" t="inlineStr">
        <is>
          <t>N/A</t>
        </is>
      </c>
      <c r="G175" t="inlineStr">
        <is>
          <t>N/A</t>
        </is>
      </c>
      <c r="H175" t="inlineStr">
        <is>
          <t>N/A</t>
        </is>
      </c>
      <c r="I175" t="inlineStr">
        <is>
          <t>N/A</t>
        </is>
      </c>
      <c r="J175" t="inlineStr">
        <is>
          <t>N/A</t>
        </is>
      </c>
      <c r="K175" t="inlineStr">
        <is>
          <t>N/A</t>
        </is>
      </c>
      <c r="L175" t="inlineStr">
        <is>
          <t>N/A</t>
        </is>
      </c>
      <c r="M175" t="inlineStr">
        <is>
          <t>N/A</t>
        </is>
      </c>
      <c r="N175" t="inlineStr">
        <is>
          <t>N/A</t>
        </is>
      </c>
    </row>
    <row r="176">
      <c r="A176" t="inlineStr">
        <is>
          <t>G2</t>
        </is>
      </c>
      <c r="B176" t="inlineStr">
        <is>
          <t>Permanent geological storage</t>
        </is>
      </c>
      <c r="C176" t="inlineStr">
        <is>
          <t>S_fossil</t>
        </is>
      </c>
      <c r="D176" t="inlineStr">
        <is>
          <t>applies</t>
        </is>
      </c>
      <c r="E176" t="inlineStr">
        <is>
          <t>t-CO2/y</t>
        </is>
      </c>
      <c r="F176" t="inlineStr">
        <is>
          <t>already CO2</t>
        </is>
      </c>
      <c r="G176" t="inlineStr">
        <is>
          <t>t-CO2/y</t>
        </is>
      </c>
      <c r="H176" t="inlineStr">
        <is>
          <t>CARBON</t>
        </is>
      </c>
      <c r="I176" t="inlineStr">
        <is>
          <t>implicit: the retained fraction is simply never released, and is not credited a second time</t>
        </is>
      </c>
      <c r="J176" t="inlineStr">
        <is>
          <t>random through cr</t>
        </is>
      </c>
      <c r="K176" t="inlineStr">
        <is>
          <t>cr shared</t>
        </is>
      </c>
      <c r="L176" t="inlineStr">
        <is>
          <t>none</t>
        </is>
      </c>
      <c r="M176" t="inlineStr">
        <is>
          <t>n/a</t>
        </is>
      </c>
      <c r="N176" t="inlineStr">
        <is>
          <t>model</t>
        </is>
      </c>
    </row>
    <row r="177">
      <c r="A177" t="inlineStr">
        <is>
          <t>G2</t>
        </is>
      </c>
      <c r="B177" t="inlineStr">
        <is>
          <t>Temporary product storage</t>
        </is>
      </c>
      <c r="C177" t="inlineStr">
        <is>
          <t>N/A</t>
        </is>
      </c>
      <c r="D177" t="inlineStr">
        <is>
          <t>N/A</t>
        </is>
      </c>
      <c r="E177" t="inlineStr">
        <is>
          <t>N/A</t>
        </is>
      </c>
      <c r="F177" t="inlineStr">
        <is>
          <t>N/A</t>
        </is>
      </c>
      <c r="G177" t="inlineStr">
        <is>
          <t>N/A</t>
        </is>
      </c>
      <c r="H177" t="inlineStr">
        <is>
          <t>N/A</t>
        </is>
      </c>
      <c r="I177" t="inlineStr">
        <is>
          <t>N/A</t>
        </is>
      </c>
      <c r="J177" t="inlineStr">
        <is>
          <t>N/A</t>
        </is>
      </c>
      <c r="K177" t="inlineStr">
        <is>
          <t>N/A</t>
        </is>
      </c>
      <c r="L177" t="inlineStr">
        <is>
          <t>N/A</t>
        </is>
      </c>
      <c r="M177" t="inlineStr">
        <is>
          <t>N/A</t>
        </is>
      </c>
      <c r="N177" t="inlineStr">
        <is>
          <t>N/A</t>
        </is>
      </c>
    </row>
    <row r="178">
      <c r="A178" t="inlineStr">
        <is>
          <t>G2</t>
        </is>
      </c>
      <c r="B178" t="inlineStr">
        <is>
          <t>Final atmospheric release</t>
        </is>
      </c>
      <c r="C178" t="inlineStr">
        <is>
          <t>N/A</t>
        </is>
      </c>
      <c r="D178" t="inlineStr">
        <is>
          <t>N/A</t>
        </is>
      </c>
      <c r="E178" t="inlineStr">
        <is>
          <t>N/A</t>
        </is>
      </c>
      <c r="F178" t="inlineStr">
        <is>
          <t>N/A</t>
        </is>
      </c>
      <c r="G178" t="inlineStr">
        <is>
          <t>N/A</t>
        </is>
      </c>
      <c r="H178" t="inlineStr">
        <is>
          <t>N/A</t>
        </is>
      </c>
      <c r="I178" t="inlineStr">
        <is>
          <t>N/A</t>
        </is>
      </c>
      <c r="J178" t="inlineStr">
        <is>
          <t>N/A</t>
        </is>
      </c>
      <c r="K178" t="inlineStr">
        <is>
          <t>N/A</t>
        </is>
      </c>
      <c r="L178" t="inlineStr">
        <is>
          <t>N/A</t>
        </is>
      </c>
      <c r="M178" t="inlineStr">
        <is>
          <t>N/A</t>
        </is>
      </c>
      <c r="N178" t="inlineStr">
        <is>
          <t>N/A</t>
        </is>
      </c>
    </row>
    <row r="179">
      <c r="A179" t="inlineStr">
        <is>
          <t>G2</t>
        </is>
      </c>
      <c r="B179" t="inlineStr">
        <is>
          <t>Capture solvent burden (R1 explicit)</t>
        </is>
      </c>
      <c r="C179" t="inlineStr">
        <is>
          <t>R_p</t>
        </is>
      </c>
      <c r="D179" t="n">
        <v>1057.227651280685</v>
      </c>
      <c r="E179" t="inlineStr">
        <is>
          <t>t-CO2/y</t>
        </is>
      </c>
      <c r="F179" t="inlineStr">
        <is>
          <t>already CO2</t>
        </is>
      </c>
      <c r="G179" t="inlineStr">
        <is>
          <t>t-CO2/y</t>
        </is>
      </c>
      <c r="H179" t="inlineStr">
        <is>
          <t>CAP</t>
        </is>
      </c>
      <c r="I179" t="inlineStr">
        <is>
          <t>R_p x s_cap x m_reag</t>
        </is>
      </c>
      <c r="J179" t="inlineStr">
        <is>
          <t>random through m_reag</t>
        </is>
      </c>
      <c r="K179" t="inlineStr">
        <is>
          <t>m_reag shared by all capture pathways</t>
        </is>
      </c>
      <c r="L179" t="inlineStr">
        <is>
          <t>none</t>
        </is>
      </c>
      <c r="M179" t="inlineStr">
        <is>
          <t>+</t>
        </is>
      </c>
      <c r="N179" t="inlineStr">
        <is>
          <t>Bisinella et al. 2021, Table 4: 12 kg CO2-eq per t ww</t>
        </is>
      </c>
    </row>
    <row r="180">
      <c r="A180" t="inlineStr">
        <is>
          <t>G2</t>
        </is>
      </c>
      <c r="B180" t="inlineStr">
        <is>
          <t>Transport (R1 explicit: CO2 to storage / ore / slag / CO2 to synthesis)</t>
        </is>
      </c>
      <c r="C180" t="inlineStr">
        <is>
          <t>Tr_p</t>
        </is>
      </c>
      <c r="D180" t="n">
        <v>1567.494380479104</v>
      </c>
      <c r="E180" t="inlineStr">
        <is>
          <t>t-CO2/y</t>
        </is>
      </c>
      <c r="F180" t="inlineStr">
        <is>
          <t>already CO2</t>
        </is>
      </c>
      <c r="G180" t="inlineStr">
        <is>
          <t>t-CO2/y</t>
        </is>
      </c>
      <c r="H180" t="inlineStr">
        <is>
          <t>CAP</t>
        </is>
      </c>
      <c r="I180" t="inlineStr">
        <is>
          <t>Tr_p x s_cap x m_trans</t>
        </is>
      </c>
      <c r="J180" t="inlineStr">
        <is>
          <t>random through m_trans</t>
        </is>
      </c>
      <c r="K180" t="inlineStr">
        <is>
          <t>m_trans shared within capture family</t>
        </is>
      </c>
      <c r="L180" t="inlineStr">
        <is>
          <t>none</t>
        </is>
      </c>
      <c r="M180" t="inlineStr">
        <is>
          <t>+</t>
        </is>
      </c>
      <c r="N180" t="inlineStr">
        <is>
          <t>G: Bisinella et al. 2021 Section 2.4; M: source workbook t-km; U: source workbook</t>
        </is>
      </c>
    </row>
    <row r="181">
      <c r="A181" t="inlineStr">
        <is>
          <t>G2</t>
        </is>
      </c>
      <c r="B181" t="inlineStr">
        <is>
          <t>Product transport</t>
        </is>
      </c>
      <c r="C181" t="inlineStr">
        <is>
          <t>N/A</t>
        </is>
      </c>
      <c r="D181" t="inlineStr">
        <is>
          <t>N/A</t>
        </is>
      </c>
      <c r="E181" t="inlineStr">
        <is>
          <t>N/A</t>
        </is>
      </c>
      <c r="F181" t="inlineStr">
        <is>
          <t>N/A</t>
        </is>
      </c>
      <c r="G181" t="inlineStr">
        <is>
          <t>N/A</t>
        </is>
      </c>
      <c r="H181" t="inlineStr">
        <is>
          <t>N/A</t>
        </is>
      </c>
      <c r="I181" t="inlineStr">
        <is>
          <t>N/A</t>
        </is>
      </c>
      <c r="J181" t="inlineStr">
        <is>
          <t>N/A</t>
        </is>
      </c>
      <c r="K181" t="inlineStr">
        <is>
          <t>N/A</t>
        </is>
      </c>
      <c r="L181" t="inlineStr">
        <is>
          <t>N/A</t>
        </is>
      </c>
      <c r="M181" t="inlineStr">
        <is>
          <t>N/A</t>
        </is>
      </c>
      <c r="N181" t="inlineStr">
        <is>
          <t>N/A</t>
        </is>
      </c>
    </row>
    <row r="182">
      <c r="A182" t="inlineStr">
        <is>
          <t>G2</t>
        </is>
      </c>
      <c r="B182" t="inlineStr">
        <is>
          <t>Capital-related burdens</t>
        </is>
      </c>
      <c r="C182" t="inlineStr">
        <is>
          <t>C_cap</t>
        </is>
      </c>
      <c r="D182" t="inlineStr">
        <is>
          <t>inside residual</t>
        </is>
      </c>
      <c r="E182" t="inlineStr">
        <is>
          <t>t-CO2/y</t>
        </is>
      </c>
      <c r="F182" t="inlineStr">
        <is>
          <t>annualised</t>
        </is>
      </c>
      <c r="G182" t="inlineStr">
        <is>
          <t>t-CO2/y</t>
        </is>
      </c>
      <c r="H182" t="inlineStr">
        <is>
          <t>RESIDUAL</t>
        </is>
      </c>
      <c r="I182" t="inlineStr">
        <is>
          <t>annualised, held at its national value, x m_rem</t>
        </is>
      </c>
      <c r="J182" t="inlineStr">
        <is>
          <t>random through m_rem</t>
        </is>
      </c>
      <c r="K182" t="inlineStr">
        <is>
          <t>pathway-specific</t>
        </is>
      </c>
      <c r="L182" t="inlineStr">
        <is>
          <t>none</t>
        </is>
      </c>
      <c r="M182" t="inlineStr">
        <is>
          <t>+</t>
        </is>
      </c>
      <c r="N182" t="inlineStr">
        <is>
          <t>calibrated remainder</t>
        </is>
      </c>
    </row>
    <row r="183">
      <c r="A183" t="inlineStr">
        <is>
          <t>G2</t>
        </is>
      </c>
      <c r="B183" t="inlineStr">
        <is>
          <t>Calibrated residual, total</t>
        </is>
      </c>
      <c r="C183" t="inlineStr">
        <is>
          <t>C_p</t>
        </is>
      </c>
      <c r="D183" t="n">
        <v>980.1</v>
      </c>
      <c r="E183" t="inlineStr">
        <is>
          <t>t-CO2/y</t>
        </is>
      </c>
      <c r="F183" t="inlineStr">
        <is>
          <t>already CO2</t>
        </is>
      </c>
      <c r="G183" t="inlineStr">
        <is>
          <t>t-CO2/y</t>
        </is>
      </c>
      <c r="H183" t="inlineStr">
        <is>
          <t>RESIDUAL</t>
        </is>
      </c>
      <c r="I183" t="inlineStr">
        <is>
          <t>C_p x m_rem</t>
        </is>
      </c>
      <c r="J183" t="inlineStr">
        <is>
          <t>random through m_rem</t>
        </is>
      </c>
      <c r="K183" t="inlineStr">
        <is>
          <t>pathway-specific</t>
        </is>
      </c>
      <c r="L183" t="inlineStr">
        <is>
          <t>shifts with the anchor under B</t>
        </is>
      </c>
      <c r="M183" t="inlineStr">
        <is>
          <t>+/-</t>
        </is>
      </c>
      <c r="N183" t="inlineStr">
        <is>
          <t>verified national value minus the explicit groups</t>
        </is>
      </c>
    </row>
    <row r="184">
      <c r="A184" t="inlineStr">
        <is>
          <t>U1</t>
        </is>
      </c>
      <c r="B184" t="inlineStr">
        <is>
          <t>Plant auxiliary electricity</t>
        </is>
      </c>
      <c r="C184" t="inlineStr">
        <is>
          <t>E_aux</t>
        </is>
      </c>
      <c r="D184" t="n">
        <v>24360</v>
      </c>
      <c r="E184" t="inlineStr">
        <is>
          <t>MWh/y</t>
        </is>
      </c>
      <c r="F184" t="inlineStr">
        <is>
          <t>EF</t>
        </is>
      </c>
      <c r="G184" t="inlineStr">
        <is>
          <t>t-CO2/y</t>
        </is>
      </c>
      <c r="H184" t="inlineStr">
        <is>
          <t>FIXED</t>
        </is>
      </c>
      <c r="I184" t="inlineStr">
        <is>
          <t>E_aux x EF</t>
        </is>
      </c>
      <c r="J184" t="inlineStr">
        <is>
          <t>random through EF</t>
        </is>
      </c>
      <c r="K184" t="inlineStr">
        <is>
          <t>EF shared by all pathways</t>
        </is>
      </c>
      <c r="L184" t="inlineStr">
        <is>
          <t>none</t>
        </is>
      </c>
      <c r="M184" t="inlineStr">
        <is>
          <t>+</t>
        </is>
      </c>
      <c r="N184" t="inlineStr">
        <is>
          <t>harmonised inventory</t>
        </is>
      </c>
    </row>
    <row r="185">
      <c r="A185" t="inlineStr">
        <is>
          <t>U1</t>
        </is>
      </c>
      <c r="B185" t="inlineStr">
        <is>
          <t>Baseline electricity export</t>
        </is>
      </c>
      <c r="C185" t="inlineStr">
        <is>
          <t>E_exp_base</t>
        </is>
      </c>
      <c r="D185" t="n">
        <v>-43207</v>
      </c>
      <c r="E185" t="inlineStr">
        <is>
          <t>MWh/y</t>
        </is>
      </c>
      <c r="F185" t="inlineStr">
        <is>
          <t>EF</t>
        </is>
      </c>
      <c r="G185" t="inlineStr">
        <is>
          <t>t-CO2/y</t>
        </is>
      </c>
      <c r="H185" t="inlineStr">
        <is>
          <t>FIXED</t>
        </is>
      </c>
      <c r="I185" t="inlineStr">
        <is>
          <t>minus E_exp_base x EF</t>
        </is>
      </c>
      <c r="J185" t="inlineStr">
        <is>
          <t>random through EF</t>
        </is>
      </c>
      <c r="K185" t="inlineStr">
        <is>
          <t>EF shared by all pathways</t>
        </is>
      </c>
      <c r="L185" t="inlineStr">
        <is>
          <t>none</t>
        </is>
      </c>
      <c r="M185" t="inlineStr">
        <is>
          <t>-</t>
        </is>
      </c>
      <c r="N185" t="inlineStr">
        <is>
          <t>harmonised inventory</t>
        </is>
      </c>
    </row>
    <row r="186">
      <c r="A186" t="inlineStr">
        <is>
          <t>U1</t>
        </is>
      </c>
      <c r="B186" t="inlineStr">
        <is>
          <t>Steam generation burden</t>
        </is>
      </c>
      <c r="C186" t="inlineStr">
        <is>
          <t>n/a</t>
        </is>
      </c>
      <c r="D186" t="inlineStr">
        <is>
          <t>not separate</t>
        </is>
      </c>
      <c r="E186" t="inlineStr">
        <is>
          <t>MWh/y</t>
        </is>
      </c>
      <c r="F186" t="inlineStr">
        <is>
          <t>n/a</t>
        </is>
      </c>
      <c r="G186" t="inlineStr">
        <is>
          <t>t-CO2/y</t>
        </is>
      </c>
      <c r="H186" t="inlineStr">
        <is>
          <t>FIXED</t>
        </is>
      </c>
      <c r="I186" t="inlineStr">
        <is>
          <t>inside E_exp_base; same waste tonnage in every region</t>
        </is>
      </c>
      <c r="J186" t="inlineStr">
        <is>
          <t>deterministic</t>
        </is>
      </c>
      <c r="K186" t="inlineStr">
        <is>
          <t>shared by all pathways</t>
        </is>
      </c>
      <c r="L186" t="inlineStr">
        <is>
          <t>none</t>
        </is>
      </c>
      <c r="M186" t="inlineStr">
        <is>
          <t>n/a</t>
        </is>
      </c>
      <c r="N186" t="inlineStr">
        <is>
          <t>harmonised inventory</t>
        </is>
      </c>
    </row>
    <row r="187">
      <c r="A187" t="inlineStr">
        <is>
          <t>U1</t>
        </is>
      </c>
      <c r="B187" t="inlineStr">
        <is>
          <t>Steam-extraction export penalty</t>
        </is>
      </c>
      <c r="C187" t="inlineStr">
        <is>
          <t>P_steam</t>
        </is>
      </c>
      <c r="D187" t="n">
        <v>13087</v>
      </c>
      <c r="E187" t="inlineStr">
        <is>
          <t>MWh/y</t>
        </is>
      </c>
      <c r="F187" t="inlineStr">
        <is>
          <t>EF</t>
        </is>
      </c>
      <c r="G187" t="inlineStr">
        <is>
          <t>t-CO2/y</t>
        </is>
      </c>
      <c r="H187" t="inlineStr">
        <is>
          <t>CAP</t>
        </is>
      </c>
      <c r="I187" t="inlineStr">
        <is>
          <t>P_steam x s_cap x EF</t>
        </is>
      </c>
      <c r="J187" t="inlineStr">
        <is>
          <t>random through EF and cr</t>
        </is>
      </c>
      <c r="K187" t="inlineStr">
        <is>
          <t>EF and cr shared</t>
        </is>
      </c>
      <c r="L187" t="inlineStr">
        <is>
          <t>none</t>
        </is>
      </c>
      <c r="M187" t="inlineStr">
        <is>
          <t>+</t>
        </is>
      </c>
      <c r="N187" t="inlineStr">
        <is>
          <t>E_exp_base minus E_exp_cc</t>
        </is>
      </c>
    </row>
    <row r="188">
      <c r="A188" t="inlineStr">
        <is>
          <t>U1</t>
        </is>
      </c>
      <c r="B188" t="inlineStr">
        <is>
          <t>Capture electricity</t>
        </is>
      </c>
      <c r="C188" t="inlineStr">
        <is>
          <t>E_proc part</t>
        </is>
      </c>
      <c r="D188" t="inlineStr">
        <is>
          <t>inside E_proc</t>
        </is>
      </c>
      <c r="E188" t="inlineStr">
        <is>
          <t>MWh/y</t>
        </is>
      </c>
      <c r="F188" t="inlineStr">
        <is>
          <t>EF</t>
        </is>
      </c>
      <c r="G188" t="inlineStr">
        <is>
          <t>t-CO2/y</t>
        </is>
      </c>
      <c r="H188" t="inlineStr">
        <is>
          <t>CAP</t>
        </is>
      </c>
      <c r="I188" t="inlineStr">
        <is>
          <t>E_proc x s_cap x EF x m_el</t>
        </is>
      </c>
      <c r="J188" t="inlineStr">
        <is>
          <t>random</t>
        </is>
      </c>
      <c r="K188" t="inlineStr">
        <is>
          <t>m_el shared within family</t>
        </is>
      </c>
      <c r="L188" t="inlineStr">
        <is>
          <t>none</t>
        </is>
      </c>
      <c r="M188" t="inlineStr">
        <is>
          <t>+</t>
        </is>
      </c>
      <c r="N188" t="inlineStr">
        <is>
          <t>harmonised inventory</t>
        </is>
      </c>
    </row>
    <row r="189">
      <c r="A189" t="inlineStr">
        <is>
          <t>U1</t>
        </is>
      </c>
      <c r="B189" t="inlineStr">
        <is>
          <t>CO2 compression electricity</t>
        </is>
      </c>
      <c r="C189" t="inlineStr">
        <is>
          <t>E_proc part</t>
        </is>
      </c>
      <c r="D189" t="inlineStr">
        <is>
          <t>inside E_proc</t>
        </is>
      </c>
      <c r="E189" t="inlineStr">
        <is>
          <t>MWh/y</t>
        </is>
      </c>
      <c r="F189" t="inlineStr">
        <is>
          <t>EF</t>
        </is>
      </c>
      <c r="G189" t="inlineStr">
        <is>
          <t>t-CO2/y</t>
        </is>
      </c>
      <c r="H189" t="inlineStr">
        <is>
          <t>CAP</t>
        </is>
      </c>
      <c r="I189" t="inlineStr">
        <is>
          <t>E_proc x s_cap x EF x m_el</t>
        </is>
      </c>
      <c r="J189" t="inlineStr">
        <is>
          <t>random</t>
        </is>
      </c>
      <c r="K189" t="inlineStr">
        <is>
          <t>m_el shared within family</t>
        </is>
      </c>
      <c r="L189" t="inlineStr">
        <is>
          <t>none</t>
        </is>
      </c>
      <c r="M189" t="inlineStr">
        <is>
          <t>+</t>
        </is>
      </c>
      <c r="N189" t="inlineStr">
        <is>
          <t>harmonised inventory</t>
        </is>
      </c>
    </row>
    <row r="190">
      <c r="A190" t="inlineStr">
        <is>
          <t>U1</t>
        </is>
      </c>
      <c r="B190" t="inlineStr">
        <is>
          <t>Conversion electricity</t>
        </is>
      </c>
      <c r="C190" t="inlineStr">
        <is>
          <t>E_proc part</t>
        </is>
      </c>
      <c r="D190" t="inlineStr">
        <is>
          <t>inside E_proc</t>
        </is>
      </c>
      <c r="E190" t="inlineStr">
        <is>
          <t>MWh/y</t>
        </is>
      </c>
      <c r="F190" t="inlineStr">
        <is>
          <t>EF</t>
        </is>
      </c>
      <c r="G190" t="inlineStr">
        <is>
          <t>t-CO2/y</t>
        </is>
      </c>
      <c r="H190" t="inlineStr">
        <is>
          <t>CAP</t>
        </is>
      </c>
      <c r="I190" t="inlineStr">
        <is>
          <t>E_proc x s_cap x EF x m_el</t>
        </is>
      </c>
      <c r="J190" t="inlineStr">
        <is>
          <t>random</t>
        </is>
      </c>
      <c r="K190" t="inlineStr">
        <is>
          <t>m_el shared within family</t>
        </is>
      </c>
      <c r="L190" t="inlineStr">
        <is>
          <t>none</t>
        </is>
      </c>
      <c r="M190" t="inlineStr">
        <is>
          <t>+</t>
        </is>
      </c>
      <c r="N190" t="inlineStr">
        <is>
          <t>harmonised inventory</t>
        </is>
      </c>
    </row>
    <row r="191">
      <c r="A191" t="inlineStr">
        <is>
          <t>U1</t>
        </is>
      </c>
      <c r="B191" t="inlineStr">
        <is>
          <t>Total capture, compression and conversion electricity</t>
        </is>
      </c>
      <c r="C191" t="inlineStr">
        <is>
          <t>E_proc</t>
        </is>
      </c>
      <c r="D191" t="n">
        <v>14761.1163034805</v>
      </c>
      <c r="E191" t="inlineStr">
        <is>
          <t>MWh/y</t>
        </is>
      </c>
      <c r="F191" t="inlineStr">
        <is>
          <t>EF</t>
        </is>
      </c>
      <c r="G191" t="inlineStr">
        <is>
          <t>t-CO2/y</t>
        </is>
      </c>
      <c r="H191" t="inlineStr">
        <is>
          <t>CAP</t>
        </is>
      </c>
      <c r="I191" t="inlineStr">
        <is>
          <t>E_proc x s_cap x EF x m_el</t>
        </is>
      </c>
      <c r="J191" t="inlineStr">
        <is>
          <t>random</t>
        </is>
      </c>
      <c r="K191" t="inlineStr">
        <is>
          <t>m_el shared within family</t>
        </is>
      </c>
      <c r="L191" t="inlineStr">
        <is>
          <t>none</t>
        </is>
      </c>
      <c r="M191" t="inlineStr">
        <is>
          <t>+</t>
        </is>
      </c>
      <c r="N191" t="inlineStr">
        <is>
          <t>harmonised inventory</t>
        </is>
      </c>
    </row>
    <row r="192">
      <c r="A192" t="inlineStr">
        <is>
          <t>U1</t>
        </is>
      </c>
      <c r="B192" t="inlineStr">
        <is>
          <t>Pyrolysis electricity</t>
        </is>
      </c>
      <c r="C192" t="inlineStr">
        <is>
          <t>N/A</t>
        </is>
      </c>
      <c r="D192" t="inlineStr">
        <is>
          <t>N/A</t>
        </is>
      </c>
      <c r="E192" t="inlineStr">
        <is>
          <t>N/A</t>
        </is>
      </c>
      <c r="F192" t="inlineStr">
        <is>
          <t>N/A</t>
        </is>
      </c>
      <c r="G192" t="inlineStr">
        <is>
          <t>N/A</t>
        </is>
      </c>
      <c r="H192" t="inlineStr">
        <is>
          <t>N/A</t>
        </is>
      </c>
      <c r="I192" t="inlineStr">
        <is>
          <t>N/A</t>
        </is>
      </c>
      <c r="J192" t="inlineStr">
        <is>
          <t>N/A</t>
        </is>
      </c>
      <c r="K192" t="inlineStr">
        <is>
          <t>N/A</t>
        </is>
      </c>
      <c r="L192" t="inlineStr">
        <is>
          <t>N/A</t>
        </is>
      </c>
      <c r="M192" t="inlineStr">
        <is>
          <t>N/A</t>
        </is>
      </c>
      <c r="N192" t="inlineStr">
        <is>
          <t>N/A</t>
        </is>
      </c>
    </row>
    <row r="193">
      <c r="A193" t="inlineStr">
        <is>
          <t>U1</t>
        </is>
      </c>
      <c r="B193" t="inlineStr">
        <is>
          <t>Hydrogen demand</t>
        </is>
      </c>
      <c r="C193" t="inlineStr">
        <is>
          <t>H_p</t>
        </is>
      </c>
      <c r="D193" t="n">
        <v>64320.14005543375</v>
      </c>
      <c r="E193" t="inlineStr">
        <is>
          <t>t-CO2/y</t>
        </is>
      </c>
      <c r="F193" t="inlineStr">
        <is>
          <t>already CO2</t>
        </is>
      </c>
      <c r="G193" t="inlineStr">
        <is>
          <t>t-CO2/y</t>
        </is>
      </c>
      <c r="H193" t="inlineStr">
        <is>
          <t>CAP</t>
        </is>
      </c>
      <c r="I193" t="inlineStr">
        <is>
          <t>H_p x s_cap x m_H2</t>
        </is>
      </c>
      <c r="J193" t="inlineStr">
        <is>
          <t>random</t>
        </is>
      </c>
      <c r="K193" t="inlineStr">
        <is>
          <t>m_H2 shared by all utilization pathways</t>
        </is>
      </c>
      <c r="L193" t="inlineStr">
        <is>
          <t>none</t>
        </is>
      </c>
      <c r="M193" t="inlineStr">
        <is>
          <t>+</t>
        </is>
      </c>
      <c r="N193" t="inlineStr">
        <is>
          <t>harmonised inventory</t>
        </is>
      </c>
    </row>
    <row r="194">
      <c r="A194" t="inlineStr">
        <is>
          <t>U1</t>
        </is>
      </c>
      <c r="B194" t="inlineStr">
        <is>
          <t>Direct fossil-carbon emission</t>
        </is>
      </c>
      <c r="C194" t="inlineStr">
        <is>
          <t>F</t>
        </is>
      </c>
      <c r="D194" t="n">
        <v>26475.1872</v>
      </c>
      <c r="E194" t="inlineStr">
        <is>
          <t>t-CO2/y</t>
        </is>
      </c>
      <c r="F194" t="inlineStr">
        <is>
          <t>already CO2</t>
        </is>
      </c>
      <c r="G194" t="inlineStr">
        <is>
          <t>t-CO2/y</t>
        </is>
      </c>
      <c r="H194" t="inlineStr">
        <is>
          <t>CARBON</t>
        </is>
      </c>
      <c r="I194" t="inlineStr">
        <is>
          <t>enters phi; see the carbon-flow rows below</t>
        </is>
      </c>
      <c r="J194" t="inlineStr">
        <is>
          <t>random</t>
        </is>
      </c>
      <c r="K194" t="inlineStr">
        <is>
          <t>F shared by all pathways</t>
        </is>
      </c>
      <c r="L194" t="inlineStr">
        <is>
          <t>none</t>
        </is>
      </c>
      <c r="M194" t="inlineStr">
        <is>
          <t>+</t>
        </is>
      </c>
      <c r="N194" t="inlineStr">
        <is>
          <t>national waste survey</t>
        </is>
      </c>
    </row>
    <row r="195">
      <c r="A195" t="inlineStr">
        <is>
          <t>U1</t>
        </is>
      </c>
      <c r="B195" t="inlineStr">
        <is>
          <t>Uncaptured fossil fraction</t>
        </is>
      </c>
      <c r="C195" t="inlineStr">
        <is>
          <t>(1-cr) F</t>
        </is>
      </c>
      <c r="D195" t="inlineStr">
        <is>
          <t>applies</t>
        </is>
      </c>
      <c r="E195" t="inlineStr">
        <is>
          <t>t-CO2/y</t>
        </is>
      </c>
      <c r="F195" t="inlineStr">
        <is>
          <t>already CO2</t>
        </is>
      </c>
      <c r="G195" t="inlineStr">
        <is>
          <t>t-CO2/y</t>
        </is>
      </c>
      <c r="H195" t="inlineStr">
        <is>
          <t>CARBON</t>
        </is>
      </c>
      <c r="I195" t="inlineStr">
        <is>
          <t>(1 - cr) x F, charged exactly once</t>
        </is>
      </c>
      <c r="J195" t="inlineStr">
        <is>
          <t>random through cr</t>
        </is>
      </c>
      <c r="K195" t="inlineStr">
        <is>
          <t>cr shared by capture pathways</t>
        </is>
      </c>
      <c r="L195" t="inlineStr">
        <is>
          <t>none</t>
        </is>
      </c>
      <c r="M195" t="inlineStr">
        <is>
          <t>+</t>
        </is>
      </c>
      <c r="N195" t="inlineStr">
        <is>
          <t>model</t>
        </is>
      </c>
    </row>
    <row r="196">
      <c r="A196" t="inlineStr">
        <is>
          <t>U1</t>
        </is>
      </c>
      <c r="B196" t="inlineStr">
        <is>
          <t>Mineralization reactor loss</t>
        </is>
      </c>
      <c r="C196" t="inlineStr">
        <is>
          <t>N/A</t>
        </is>
      </c>
      <c r="D196" t="inlineStr">
        <is>
          <t>N/A</t>
        </is>
      </c>
      <c r="E196" t="inlineStr">
        <is>
          <t>N/A</t>
        </is>
      </c>
      <c r="F196" t="inlineStr">
        <is>
          <t>N/A</t>
        </is>
      </c>
      <c r="G196" t="inlineStr">
        <is>
          <t>N/A</t>
        </is>
      </c>
      <c r="H196" t="inlineStr">
        <is>
          <t>N/A</t>
        </is>
      </c>
      <c r="I196" t="inlineStr">
        <is>
          <t>N/A</t>
        </is>
      </c>
      <c r="J196" t="inlineStr">
        <is>
          <t>N/A</t>
        </is>
      </c>
      <c r="K196" t="inlineStr">
        <is>
          <t>N/A</t>
        </is>
      </c>
      <c r="L196" t="inlineStr">
        <is>
          <t>N/A</t>
        </is>
      </c>
      <c r="M196" t="inlineStr">
        <is>
          <t>N/A</t>
        </is>
      </c>
      <c r="N196" t="inlineStr">
        <is>
          <t>N/A</t>
        </is>
      </c>
    </row>
    <row r="197">
      <c r="A197" t="inlineStr">
        <is>
          <t>U1</t>
        </is>
      </c>
      <c r="B197" t="inlineStr">
        <is>
          <t>CCU process vent</t>
        </is>
      </c>
      <c r="C197" t="inlineStr">
        <is>
          <t>V_p</t>
        </is>
      </c>
      <c r="D197" t="n">
        <v>4400.081734642759</v>
      </c>
      <c r="E197" t="inlineStr">
        <is>
          <t>t-CO2/y</t>
        </is>
      </c>
      <c r="F197" t="inlineStr">
        <is>
          <t>already CO2</t>
        </is>
      </c>
      <c r="G197" t="inlineStr">
        <is>
          <t>t-CO2/y</t>
        </is>
      </c>
      <c r="H197" t="inlineStr">
        <is>
          <t>CAP</t>
        </is>
      </c>
      <c r="I197" t="inlineStr">
        <is>
          <t>V_p x s_cap x f, inside phi (mixed-basis vent at its fossil share)</t>
        </is>
      </c>
      <c r="J197" t="inlineStr">
        <is>
          <t>random</t>
        </is>
      </c>
      <c r="K197" t="inlineStr">
        <is>
          <t>pathway-specific</t>
        </is>
      </c>
      <c r="L197" t="inlineStr">
        <is>
          <t>none</t>
        </is>
      </c>
      <c r="M197" t="inlineStr">
        <is>
          <t>+</t>
        </is>
      </c>
      <c r="N197" t="inlineStr">
        <is>
          <t>source workbook</t>
        </is>
      </c>
    </row>
    <row r="198">
      <c r="A198" t="inlineStr">
        <is>
          <t>U1</t>
        </is>
      </c>
      <c r="B198" t="inlineStr">
        <is>
          <t>Product output</t>
        </is>
      </c>
      <c r="C198" t="inlineStr">
        <is>
          <t>derived</t>
        </is>
      </c>
      <c r="D198" t="inlineStr">
        <is>
          <t>proportional to captured CO2</t>
        </is>
      </c>
      <c r="E198" t="inlineStr">
        <is>
          <t>t-CO2/y</t>
        </is>
      </c>
      <c r="F198" t="inlineStr">
        <is>
          <t>stoichiometric</t>
        </is>
      </c>
      <c r="G198" t="inlineStr">
        <is>
          <t>t-CO2/y</t>
        </is>
      </c>
      <c r="H198" t="inlineStr">
        <is>
          <t>CAP</t>
        </is>
      </c>
      <c r="I198" t="inlineStr">
        <is>
          <t>proportional to cr x T; enters through QA and QB</t>
        </is>
      </c>
      <c r="J198" t="inlineStr">
        <is>
          <t>random</t>
        </is>
      </c>
      <c r="K198" t="inlineStr">
        <is>
          <t>pathway-specific</t>
        </is>
      </c>
      <c r="L198" t="inlineStr">
        <is>
          <t>none</t>
        </is>
      </c>
      <c r="M198" t="inlineStr">
        <is>
          <t>n/a</t>
        </is>
      </c>
      <c r="N198" t="inlineStr">
        <is>
          <t>harmonised inventory</t>
        </is>
      </c>
    </row>
    <row r="199">
      <c r="A199" t="inlineStr">
        <is>
          <t>U1</t>
        </is>
      </c>
      <c r="B199" t="inlineStr">
        <is>
          <t>Displaced-product burden (cradle-to-grave)</t>
        </is>
      </c>
      <c r="C199" t="inlineStr">
        <is>
          <t>QA_p</t>
        </is>
      </c>
      <c r="D199" t="n">
        <v>75264.55598731036</v>
      </c>
      <c r="E199" t="inlineStr">
        <is>
          <t>t-CO2/y</t>
        </is>
      </c>
      <c r="F199" t="inlineStr">
        <is>
          <t>already CO2</t>
        </is>
      </c>
      <c r="G199" t="inlineStr">
        <is>
          <t>t-CO2/y</t>
        </is>
      </c>
      <c r="H199" t="inlineStr">
        <is>
          <t>CAP</t>
        </is>
      </c>
      <c r="I199" t="inlineStr">
        <is>
          <t>minus QA x s_cap, INSIDE phi</t>
        </is>
      </c>
      <c r="J199" t="inlineStr">
        <is>
          <t>random</t>
        </is>
      </c>
      <c r="K199" t="inlineStr">
        <is>
          <t>pathway-specific</t>
        </is>
      </c>
      <c r="L199" t="inlineStr">
        <is>
          <t>none</t>
        </is>
      </c>
      <c r="M199" t="inlineStr">
        <is>
          <t>-</t>
        </is>
      </c>
      <c r="N199" t="inlineStr">
        <is>
          <t>CFP database factors x product mass</t>
        </is>
      </c>
    </row>
    <row r="200">
      <c r="A200" t="inlineStr">
        <is>
          <t>U1</t>
        </is>
      </c>
      <c r="B200" t="inlineStr">
        <is>
          <t>Product fossil-combustion charge</t>
        </is>
      </c>
      <c r="C200" t="inlineStr">
        <is>
          <t>QB_p</t>
        </is>
      </c>
      <c r="D200" t="n">
        <v>63527.68942017447</v>
      </c>
      <c r="E200" t="inlineStr">
        <is>
          <t>t-CO2/y</t>
        </is>
      </c>
      <c r="F200" t="inlineStr">
        <is>
          <t>already CO2</t>
        </is>
      </c>
      <c r="G200" t="inlineStr">
        <is>
          <t>t-CO2/y</t>
        </is>
      </c>
      <c r="H200" t="inlineStr">
        <is>
          <t>CAP</t>
        </is>
      </c>
      <c r="I200" t="inlineStr">
        <is>
          <t>plus f x QB x s_cap, INSIDE phi; the net credit is (QA - f QB) x s_cap</t>
        </is>
      </c>
      <c r="J200" t="inlineStr">
        <is>
          <t>random</t>
        </is>
      </c>
      <c r="K200" t="inlineStr">
        <is>
          <t>pathway-specific</t>
        </is>
      </c>
      <c r="L200" t="inlineStr">
        <is>
          <t>none</t>
        </is>
      </c>
      <c r="M200" t="inlineStr">
        <is>
          <t>+</t>
        </is>
      </c>
      <c r="N200" t="inlineStr">
        <is>
          <t>stoichiometric combustion of the synthesised product</t>
        </is>
      </c>
    </row>
    <row r="201">
      <c r="A201" t="inlineStr">
        <is>
          <t>U1</t>
        </is>
      </c>
      <c r="B201" t="inlineStr">
        <is>
          <t>Diverted plastic carbon</t>
        </is>
      </c>
      <c r="C201" t="inlineStr">
        <is>
          <t>N/A</t>
        </is>
      </c>
      <c r="D201" t="inlineStr">
        <is>
          <t>N/A</t>
        </is>
      </c>
      <c r="E201" t="inlineStr">
        <is>
          <t>N/A</t>
        </is>
      </c>
      <c r="F201" t="inlineStr">
        <is>
          <t>N/A</t>
        </is>
      </c>
      <c r="G201" t="inlineStr">
        <is>
          <t>N/A</t>
        </is>
      </c>
      <c r="H201" t="inlineStr">
        <is>
          <t>N/A</t>
        </is>
      </c>
      <c r="I201" t="inlineStr">
        <is>
          <t>N/A</t>
        </is>
      </c>
      <c r="J201" t="inlineStr">
        <is>
          <t>N/A</t>
        </is>
      </c>
      <c r="K201" t="inlineStr">
        <is>
          <t>N/A</t>
        </is>
      </c>
      <c r="L201" t="inlineStr">
        <is>
          <t>N/A</t>
        </is>
      </c>
      <c r="M201" t="inlineStr">
        <is>
          <t>N/A</t>
        </is>
      </c>
      <c r="N201" t="inlineStr">
        <is>
          <t>N/A</t>
        </is>
      </c>
    </row>
    <row r="202">
      <c r="A202" t="inlineStr">
        <is>
          <t>U1</t>
        </is>
      </c>
      <c r="B202" t="inlineStr">
        <is>
          <t>Permanent geological storage</t>
        </is>
      </c>
      <c r="C202" t="inlineStr">
        <is>
          <t>N/A</t>
        </is>
      </c>
      <c r="D202" t="inlineStr">
        <is>
          <t>N/A</t>
        </is>
      </c>
      <c r="E202" t="inlineStr">
        <is>
          <t>N/A</t>
        </is>
      </c>
      <c r="F202" t="inlineStr">
        <is>
          <t>N/A</t>
        </is>
      </c>
      <c r="G202" t="inlineStr">
        <is>
          <t>N/A</t>
        </is>
      </c>
      <c r="H202" t="inlineStr">
        <is>
          <t>N/A</t>
        </is>
      </c>
      <c r="I202" t="inlineStr">
        <is>
          <t>N/A</t>
        </is>
      </c>
      <c r="J202" t="inlineStr">
        <is>
          <t>N/A</t>
        </is>
      </c>
      <c r="K202" t="inlineStr">
        <is>
          <t>N/A</t>
        </is>
      </c>
      <c r="L202" t="inlineStr">
        <is>
          <t>N/A</t>
        </is>
      </c>
      <c r="M202" t="inlineStr">
        <is>
          <t>N/A</t>
        </is>
      </c>
      <c r="N202" t="inlineStr">
        <is>
          <t>N/A</t>
        </is>
      </c>
    </row>
    <row r="203">
      <c r="A203" t="inlineStr">
        <is>
          <t>U1</t>
        </is>
      </c>
      <c r="B203" t="inlineStr">
        <is>
          <t>Temporary product storage</t>
        </is>
      </c>
      <c r="C203" t="inlineStr">
        <is>
          <t>tau_50, k</t>
        </is>
      </c>
      <c r="D203" t="inlineStr">
        <is>
          <t>applies</t>
        </is>
      </c>
      <c r="E203" t="inlineStr">
        <is>
          <t>y</t>
        </is>
      </c>
      <c r="F203" t="inlineStr">
        <is>
          <t>Weibull</t>
        </is>
      </c>
      <c r="G203" t="inlineStr">
        <is>
          <t>t-CO2/y</t>
        </is>
      </c>
      <c r="H203" t="inlineStr">
        <is>
          <t>not included</t>
        </is>
      </c>
      <c r="I203" t="inlineStr">
        <is>
          <t>enters the dynamic climate layer only; the static balance is time-independent</t>
        </is>
      </c>
      <c r="J203" t="inlineStr">
        <is>
          <t>deterministic</t>
        </is>
      </c>
      <c r="K203" t="inlineStr">
        <is>
          <t>pathway-specific</t>
        </is>
      </c>
      <c r="L203" t="inlineStr">
        <is>
          <t>none</t>
        </is>
      </c>
      <c r="M203" t="inlineStr">
        <is>
          <t>n/a</t>
        </is>
      </c>
      <c r="N203" t="inlineStr">
        <is>
          <t>Table 1 (main text)</t>
        </is>
      </c>
    </row>
    <row r="204">
      <c r="A204" t="inlineStr">
        <is>
          <t>U1</t>
        </is>
      </c>
      <c r="B204" t="inlineStr">
        <is>
          <t>Final atmospheric release</t>
        </is>
      </c>
      <c r="C204" t="inlineStr">
        <is>
          <t>E_product,f</t>
        </is>
      </c>
      <c r="D204" t="inlineStr">
        <is>
          <t>applies</t>
        </is>
      </c>
      <c r="E204" t="inlineStr">
        <is>
          <t>t-CO2/y</t>
        </is>
      </c>
      <c r="F204" t="inlineStr">
        <is>
          <t>already CO2</t>
        </is>
      </c>
      <c r="G204" t="inlineStr">
        <is>
          <t>t-CO2/y</t>
        </is>
      </c>
      <c r="H204" t="inlineStr">
        <is>
          <t>CARBON</t>
        </is>
      </c>
      <c r="I204" t="inlineStr">
        <is>
          <t>accounted through the QB charge (utilization) or D_p (recycling); the deferred release of U2b enters the dynamic layer</t>
        </is>
      </c>
      <c r="J204" t="inlineStr">
        <is>
          <t>random</t>
        </is>
      </c>
      <c r="K204" t="inlineStr">
        <is>
          <t>pathway-specific</t>
        </is>
      </c>
      <c r="L204" t="inlineStr">
        <is>
          <t>A/B for recycling</t>
        </is>
      </c>
      <c r="M204" t="inlineStr">
        <is>
          <t>+</t>
        </is>
      </c>
      <c r="N204" t="inlineStr">
        <is>
          <t>model</t>
        </is>
      </c>
    </row>
    <row r="205">
      <c r="A205" t="inlineStr">
        <is>
          <t>U1</t>
        </is>
      </c>
      <c r="B205" t="inlineStr">
        <is>
          <t>Capture solvent burden (R1 explicit)</t>
        </is>
      </c>
      <c r="C205" t="inlineStr">
        <is>
          <t>R_p</t>
        </is>
      </c>
      <c r="D205" t="n">
        <v>1057.227651280685</v>
      </c>
      <c r="E205" t="inlineStr">
        <is>
          <t>t-CO2/y</t>
        </is>
      </c>
      <c r="F205" t="inlineStr">
        <is>
          <t>already CO2</t>
        </is>
      </c>
      <c r="G205" t="inlineStr">
        <is>
          <t>t-CO2/y</t>
        </is>
      </c>
      <c r="H205" t="inlineStr">
        <is>
          <t>CAP</t>
        </is>
      </c>
      <c r="I205" t="inlineStr">
        <is>
          <t>R_p x s_cap x m_reag</t>
        </is>
      </c>
      <c r="J205" t="inlineStr">
        <is>
          <t>random through m_reag</t>
        </is>
      </c>
      <c r="K205" t="inlineStr">
        <is>
          <t>m_reag shared by all capture pathways</t>
        </is>
      </c>
      <c r="L205" t="inlineStr">
        <is>
          <t>none</t>
        </is>
      </c>
      <c r="M205" t="inlineStr">
        <is>
          <t>+</t>
        </is>
      </c>
      <c r="N205" t="inlineStr">
        <is>
          <t>Bisinella et al. 2021, Table 4: 12 kg CO2-eq per t ww</t>
        </is>
      </c>
    </row>
    <row r="206">
      <c r="A206" t="inlineStr">
        <is>
          <t>U1</t>
        </is>
      </c>
      <c r="B206" t="inlineStr">
        <is>
          <t>Transport (R1 explicit: CO2 to storage / ore / slag / CO2 to synthesis)</t>
        </is>
      </c>
      <c r="C206" t="inlineStr">
        <is>
          <t>Tr_p</t>
        </is>
      </c>
      <c r="D206" t="n">
        <v>449.9662531795201</v>
      </c>
      <c r="E206" t="inlineStr">
        <is>
          <t>t-CO2/y</t>
        </is>
      </c>
      <c r="F206" t="inlineStr">
        <is>
          <t>already CO2</t>
        </is>
      </c>
      <c r="G206" t="inlineStr">
        <is>
          <t>t-CO2/y</t>
        </is>
      </c>
      <c r="H206" t="inlineStr">
        <is>
          <t>CAP</t>
        </is>
      </c>
      <c r="I206" t="inlineStr">
        <is>
          <t>Tr_p x s_cap x m_trans</t>
        </is>
      </c>
      <c r="J206" t="inlineStr">
        <is>
          <t>random through m_trans</t>
        </is>
      </c>
      <c r="K206" t="inlineStr">
        <is>
          <t>m_trans shared within capture family</t>
        </is>
      </c>
      <c r="L206" t="inlineStr">
        <is>
          <t>none</t>
        </is>
      </c>
      <c r="M206" t="inlineStr">
        <is>
          <t>+</t>
        </is>
      </c>
      <c r="N206" t="inlineStr">
        <is>
          <t>G: Bisinella et al. 2021 Section 2.4; M: source workbook t-km; U: source workbook</t>
        </is>
      </c>
    </row>
    <row r="207">
      <c r="A207" t="inlineStr">
        <is>
          <t>U1</t>
        </is>
      </c>
      <c r="B207" t="inlineStr">
        <is>
          <t>Product transport</t>
        </is>
      </c>
      <c r="C207" t="inlineStr">
        <is>
          <t>N/A</t>
        </is>
      </c>
      <c r="D207" t="inlineStr">
        <is>
          <t>N/A</t>
        </is>
      </c>
      <c r="E207" t="inlineStr">
        <is>
          <t>N/A</t>
        </is>
      </c>
      <c r="F207" t="inlineStr">
        <is>
          <t>N/A</t>
        </is>
      </c>
      <c r="G207" t="inlineStr">
        <is>
          <t>N/A</t>
        </is>
      </c>
      <c r="H207" t="inlineStr">
        <is>
          <t>N/A</t>
        </is>
      </c>
      <c r="I207" t="inlineStr">
        <is>
          <t>N/A</t>
        </is>
      </c>
      <c r="J207" t="inlineStr">
        <is>
          <t>N/A</t>
        </is>
      </c>
      <c r="K207" t="inlineStr">
        <is>
          <t>N/A</t>
        </is>
      </c>
      <c r="L207" t="inlineStr">
        <is>
          <t>N/A</t>
        </is>
      </c>
      <c r="M207" t="inlineStr">
        <is>
          <t>N/A</t>
        </is>
      </c>
      <c r="N207" t="inlineStr">
        <is>
          <t>N/A</t>
        </is>
      </c>
    </row>
    <row r="208">
      <c r="A208" t="inlineStr">
        <is>
          <t>U1</t>
        </is>
      </c>
      <c r="B208" t="inlineStr">
        <is>
          <t>Capital-related burdens</t>
        </is>
      </c>
      <c r="C208" t="inlineStr">
        <is>
          <t>C_cap</t>
        </is>
      </c>
      <c r="D208" t="inlineStr">
        <is>
          <t>inside residual</t>
        </is>
      </c>
      <c r="E208" t="inlineStr">
        <is>
          <t>t-CO2/y</t>
        </is>
      </c>
      <c r="F208" t="inlineStr">
        <is>
          <t>annualised</t>
        </is>
      </c>
      <c r="G208" t="inlineStr">
        <is>
          <t>t-CO2/y</t>
        </is>
      </c>
      <c r="H208" t="inlineStr">
        <is>
          <t>RESIDUAL</t>
        </is>
      </c>
      <c r="I208" t="inlineStr">
        <is>
          <t>annualised, held at its national value, x m_rem</t>
        </is>
      </c>
      <c r="J208" t="inlineStr">
        <is>
          <t>random through m_rem</t>
        </is>
      </c>
      <c r="K208" t="inlineStr">
        <is>
          <t>pathway-specific</t>
        </is>
      </c>
      <c r="L208" t="inlineStr">
        <is>
          <t>none</t>
        </is>
      </c>
      <c r="M208" t="inlineStr">
        <is>
          <t>+</t>
        </is>
      </c>
      <c r="N208" t="inlineStr">
        <is>
          <t>calibrated remainder</t>
        </is>
      </c>
    </row>
    <row r="209">
      <c r="A209" t="inlineStr">
        <is>
          <t>U1</t>
        </is>
      </c>
      <c r="B209" t="inlineStr">
        <is>
          <t>Calibrated residual, total</t>
        </is>
      </c>
      <c r="C209" t="inlineStr">
        <is>
          <t>C_p</t>
        </is>
      </c>
      <c r="D209" t="n">
        <v>980.1</v>
      </c>
      <c r="E209" t="inlineStr">
        <is>
          <t>t-CO2/y</t>
        </is>
      </c>
      <c r="F209" t="inlineStr">
        <is>
          <t>already CO2</t>
        </is>
      </c>
      <c r="G209" t="inlineStr">
        <is>
          <t>t-CO2/y</t>
        </is>
      </c>
      <c r="H209" t="inlineStr">
        <is>
          <t>RESIDUAL</t>
        </is>
      </c>
      <c r="I209" t="inlineStr">
        <is>
          <t>C_p x m_rem</t>
        </is>
      </c>
      <c r="J209" t="inlineStr">
        <is>
          <t>random through m_rem</t>
        </is>
      </c>
      <c r="K209" t="inlineStr">
        <is>
          <t>pathway-specific</t>
        </is>
      </c>
      <c r="L209" t="inlineStr">
        <is>
          <t>shifts with the anchor under B</t>
        </is>
      </c>
      <c r="M209" t="inlineStr">
        <is>
          <t>+/-</t>
        </is>
      </c>
      <c r="N209" t="inlineStr">
        <is>
          <t>verified national value minus the explicit groups</t>
        </is>
      </c>
    </row>
    <row r="210">
      <c r="A210" t="inlineStr">
        <is>
          <t>U2a</t>
        </is>
      </c>
      <c r="B210" t="inlineStr">
        <is>
          <t>Plant auxiliary electricity</t>
        </is>
      </c>
      <c r="C210" t="inlineStr">
        <is>
          <t>E_aux</t>
        </is>
      </c>
      <c r="D210" t="n">
        <v>24360</v>
      </c>
      <c r="E210" t="inlineStr">
        <is>
          <t>MWh/y</t>
        </is>
      </c>
      <c r="F210" t="inlineStr">
        <is>
          <t>EF</t>
        </is>
      </c>
      <c r="G210" t="inlineStr">
        <is>
          <t>t-CO2/y</t>
        </is>
      </c>
      <c r="H210" t="inlineStr">
        <is>
          <t>FIXED</t>
        </is>
      </c>
      <c r="I210" t="inlineStr">
        <is>
          <t>E_aux x EF</t>
        </is>
      </c>
      <c r="J210" t="inlineStr">
        <is>
          <t>random through EF</t>
        </is>
      </c>
      <c r="K210" t="inlineStr">
        <is>
          <t>EF shared by all pathways</t>
        </is>
      </c>
      <c r="L210" t="inlineStr">
        <is>
          <t>none</t>
        </is>
      </c>
      <c r="M210" t="inlineStr">
        <is>
          <t>+</t>
        </is>
      </c>
      <c r="N210" t="inlineStr">
        <is>
          <t>harmonised inventory</t>
        </is>
      </c>
    </row>
    <row r="211">
      <c r="A211" t="inlineStr">
        <is>
          <t>U2a</t>
        </is>
      </c>
      <c r="B211" t="inlineStr">
        <is>
          <t>Baseline electricity export</t>
        </is>
      </c>
      <c r="C211" t="inlineStr">
        <is>
          <t>E_exp_base</t>
        </is>
      </c>
      <c r="D211" t="n">
        <v>-43207</v>
      </c>
      <c r="E211" t="inlineStr">
        <is>
          <t>MWh/y</t>
        </is>
      </c>
      <c r="F211" t="inlineStr">
        <is>
          <t>EF</t>
        </is>
      </c>
      <c r="G211" t="inlineStr">
        <is>
          <t>t-CO2/y</t>
        </is>
      </c>
      <c r="H211" t="inlineStr">
        <is>
          <t>FIXED</t>
        </is>
      </c>
      <c r="I211" t="inlineStr">
        <is>
          <t>minus E_exp_base x EF</t>
        </is>
      </c>
      <c r="J211" t="inlineStr">
        <is>
          <t>random through EF</t>
        </is>
      </c>
      <c r="K211" t="inlineStr">
        <is>
          <t>EF shared by all pathways</t>
        </is>
      </c>
      <c r="L211" t="inlineStr">
        <is>
          <t>none</t>
        </is>
      </c>
      <c r="M211" t="inlineStr">
        <is>
          <t>-</t>
        </is>
      </c>
      <c r="N211" t="inlineStr">
        <is>
          <t>harmonised inventory</t>
        </is>
      </c>
    </row>
    <row r="212">
      <c r="A212" t="inlineStr">
        <is>
          <t>U2a</t>
        </is>
      </c>
      <c r="B212" t="inlineStr">
        <is>
          <t>Steam generation burden</t>
        </is>
      </c>
      <c r="C212" t="inlineStr">
        <is>
          <t>n/a</t>
        </is>
      </c>
      <c r="D212" t="inlineStr">
        <is>
          <t>not separate</t>
        </is>
      </c>
      <c r="E212" t="inlineStr">
        <is>
          <t>MWh/y</t>
        </is>
      </c>
      <c r="F212" t="inlineStr">
        <is>
          <t>n/a</t>
        </is>
      </c>
      <c r="G212" t="inlineStr">
        <is>
          <t>t-CO2/y</t>
        </is>
      </c>
      <c r="H212" t="inlineStr">
        <is>
          <t>FIXED</t>
        </is>
      </c>
      <c r="I212" t="inlineStr">
        <is>
          <t>inside E_exp_base; same waste tonnage in every region</t>
        </is>
      </c>
      <c r="J212" t="inlineStr">
        <is>
          <t>deterministic</t>
        </is>
      </c>
      <c r="K212" t="inlineStr">
        <is>
          <t>shared by all pathways</t>
        </is>
      </c>
      <c r="L212" t="inlineStr">
        <is>
          <t>none</t>
        </is>
      </c>
      <c r="M212" t="inlineStr">
        <is>
          <t>n/a</t>
        </is>
      </c>
      <c r="N212" t="inlineStr">
        <is>
          <t>harmonised inventory</t>
        </is>
      </c>
    </row>
    <row r="213">
      <c r="A213" t="inlineStr">
        <is>
          <t>U2a</t>
        </is>
      </c>
      <c r="B213" t="inlineStr">
        <is>
          <t>Steam-extraction export penalty</t>
        </is>
      </c>
      <c r="C213" t="inlineStr">
        <is>
          <t>P_steam</t>
        </is>
      </c>
      <c r="D213" t="n">
        <v>13087</v>
      </c>
      <c r="E213" t="inlineStr">
        <is>
          <t>MWh/y</t>
        </is>
      </c>
      <c r="F213" t="inlineStr">
        <is>
          <t>EF</t>
        </is>
      </c>
      <c r="G213" t="inlineStr">
        <is>
          <t>t-CO2/y</t>
        </is>
      </c>
      <c r="H213" t="inlineStr">
        <is>
          <t>CAP</t>
        </is>
      </c>
      <c r="I213" t="inlineStr">
        <is>
          <t>P_steam x s_cap x EF</t>
        </is>
      </c>
      <c r="J213" t="inlineStr">
        <is>
          <t>random through EF and cr</t>
        </is>
      </c>
      <c r="K213" t="inlineStr">
        <is>
          <t>EF and cr shared</t>
        </is>
      </c>
      <c r="L213" t="inlineStr">
        <is>
          <t>none</t>
        </is>
      </c>
      <c r="M213" t="inlineStr">
        <is>
          <t>+</t>
        </is>
      </c>
      <c r="N213" t="inlineStr">
        <is>
          <t>E_exp_base minus E_exp_cc</t>
        </is>
      </c>
    </row>
    <row r="214">
      <c r="A214" t="inlineStr">
        <is>
          <t>U2a</t>
        </is>
      </c>
      <c r="B214" t="inlineStr">
        <is>
          <t>Capture electricity</t>
        </is>
      </c>
      <c r="C214" t="inlineStr">
        <is>
          <t>E_proc part</t>
        </is>
      </c>
      <c r="D214" t="inlineStr">
        <is>
          <t>inside E_proc</t>
        </is>
      </c>
      <c r="E214" t="inlineStr">
        <is>
          <t>MWh/y</t>
        </is>
      </c>
      <c r="F214" t="inlineStr">
        <is>
          <t>EF</t>
        </is>
      </c>
      <c r="G214" t="inlineStr">
        <is>
          <t>t-CO2/y</t>
        </is>
      </c>
      <c r="H214" t="inlineStr">
        <is>
          <t>CAP</t>
        </is>
      </c>
      <c r="I214" t="inlineStr">
        <is>
          <t>E_proc x s_cap x EF x m_el</t>
        </is>
      </c>
      <c r="J214" t="inlineStr">
        <is>
          <t>random</t>
        </is>
      </c>
      <c r="K214" t="inlineStr">
        <is>
          <t>m_el shared within family</t>
        </is>
      </c>
      <c r="L214" t="inlineStr">
        <is>
          <t>none</t>
        </is>
      </c>
      <c r="M214" t="inlineStr">
        <is>
          <t>+</t>
        </is>
      </c>
      <c r="N214" t="inlineStr">
        <is>
          <t>harmonised inventory</t>
        </is>
      </c>
    </row>
    <row r="215">
      <c r="A215" t="inlineStr">
        <is>
          <t>U2a</t>
        </is>
      </c>
      <c r="B215" t="inlineStr">
        <is>
          <t>CO2 compression electricity</t>
        </is>
      </c>
      <c r="C215" t="inlineStr">
        <is>
          <t>E_proc part</t>
        </is>
      </c>
      <c r="D215" t="inlineStr">
        <is>
          <t>inside E_proc</t>
        </is>
      </c>
      <c r="E215" t="inlineStr">
        <is>
          <t>MWh/y</t>
        </is>
      </c>
      <c r="F215" t="inlineStr">
        <is>
          <t>EF</t>
        </is>
      </c>
      <c r="G215" t="inlineStr">
        <is>
          <t>t-CO2/y</t>
        </is>
      </c>
      <c r="H215" t="inlineStr">
        <is>
          <t>CAP</t>
        </is>
      </c>
      <c r="I215" t="inlineStr">
        <is>
          <t>E_proc x s_cap x EF x m_el</t>
        </is>
      </c>
      <c r="J215" t="inlineStr">
        <is>
          <t>random</t>
        </is>
      </c>
      <c r="K215" t="inlineStr">
        <is>
          <t>m_el shared within family</t>
        </is>
      </c>
      <c r="L215" t="inlineStr">
        <is>
          <t>none</t>
        </is>
      </c>
      <c r="M215" t="inlineStr">
        <is>
          <t>+</t>
        </is>
      </c>
      <c r="N215" t="inlineStr">
        <is>
          <t>harmonised inventory</t>
        </is>
      </c>
    </row>
    <row r="216">
      <c r="A216" t="inlineStr">
        <is>
          <t>U2a</t>
        </is>
      </c>
      <c r="B216" t="inlineStr">
        <is>
          <t>Conversion electricity</t>
        </is>
      </c>
      <c r="C216" t="inlineStr">
        <is>
          <t>E_proc part</t>
        </is>
      </c>
      <c r="D216" t="inlineStr">
        <is>
          <t>inside E_proc</t>
        </is>
      </c>
      <c r="E216" t="inlineStr">
        <is>
          <t>MWh/y</t>
        </is>
      </c>
      <c r="F216" t="inlineStr">
        <is>
          <t>EF</t>
        </is>
      </c>
      <c r="G216" t="inlineStr">
        <is>
          <t>t-CO2/y</t>
        </is>
      </c>
      <c r="H216" t="inlineStr">
        <is>
          <t>CAP</t>
        </is>
      </c>
      <c r="I216" t="inlineStr">
        <is>
          <t>E_proc x s_cap x EF x m_el</t>
        </is>
      </c>
      <c r="J216" t="inlineStr">
        <is>
          <t>random</t>
        </is>
      </c>
      <c r="K216" t="inlineStr">
        <is>
          <t>m_el shared within family</t>
        </is>
      </c>
      <c r="L216" t="inlineStr">
        <is>
          <t>none</t>
        </is>
      </c>
      <c r="M216" t="inlineStr">
        <is>
          <t>+</t>
        </is>
      </c>
      <c r="N216" t="inlineStr">
        <is>
          <t>harmonised inventory</t>
        </is>
      </c>
    </row>
    <row r="217">
      <c r="A217" t="inlineStr">
        <is>
          <t>U2a</t>
        </is>
      </c>
      <c r="B217" t="inlineStr">
        <is>
          <t>Total capture, compression and conversion electricity</t>
        </is>
      </c>
      <c r="C217" t="inlineStr">
        <is>
          <t>E_proc</t>
        </is>
      </c>
      <c r="D217" t="n">
        <v>22498.82532418413</v>
      </c>
      <c r="E217" t="inlineStr">
        <is>
          <t>MWh/y</t>
        </is>
      </c>
      <c r="F217" t="inlineStr">
        <is>
          <t>EF</t>
        </is>
      </c>
      <c r="G217" t="inlineStr">
        <is>
          <t>t-CO2/y</t>
        </is>
      </c>
      <c r="H217" t="inlineStr">
        <is>
          <t>CAP</t>
        </is>
      </c>
      <c r="I217" t="inlineStr">
        <is>
          <t>E_proc x s_cap x EF x m_el</t>
        </is>
      </c>
      <c r="J217" t="inlineStr">
        <is>
          <t>random</t>
        </is>
      </c>
      <c r="K217" t="inlineStr">
        <is>
          <t>m_el shared within family</t>
        </is>
      </c>
      <c r="L217" t="inlineStr">
        <is>
          <t>none</t>
        </is>
      </c>
      <c r="M217" t="inlineStr">
        <is>
          <t>+</t>
        </is>
      </c>
      <c r="N217" t="inlineStr">
        <is>
          <t>harmonised inventory</t>
        </is>
      </c>
    </row>
    <row r="218">
      <c r="A218" t="inlineStr">
        <is>
          <t>U2a</t>
        </is>
      </c>
      <c r="B218" t="inlineStr">
        <is>
          <t>Pyrolysis electricity</t>
        </is>
      </c>
      <c r="C218" t="inlineStr">
        <is>
          <t>N/A</t>
        </is>
      </c>
      <c r="D218" t="inlineStr">
        <is>
          <t>N/A</t>
        </is>
      </c>
      <c r="E218" t="inlineStr">
        <is>
          <t>N/A</t>
        </is>
      </c>
      <c r="F218" t="inlineStr">
        <is>
          <t>N/A</t>
        </is>
      </c>
      <c r="G218" t="inlineStr">
        <is>
          <t>N/A</t>
        </is>
      </c>
      <c r="H218" t="inlineStr">
        <is>
          <t>N/A</t>
        </is>
      </c>
      <c r="I218" t="inlineStr">
        <is>
          <t>N/A</t>
        </is>
      </c>
      <c r="J218" t="inlineStr">
        <is>
          <t>N/A</t>
        </is>
      </c>
      <c r="K218" t="inlineStr">
        <is>
          <t>N/A</t>
        </is>
      </c>
      <c r="L218" t="inlineStr">
        <is>
          <t>N/A</t>
        </is>
      </c>
      <c r="M218" t="inlineStr">
        <is>
          <t>N/A</t>
        </is>
      </c>
      <c r="N218" t="inlineStr">
        <is>
          <t>N/A</t>
        </is>
      </c>
    </row>
    <row r="219">
      <c r="A219" t="inlineStr">
        <is>
          <t>U2a</t>
        </is>
      </c>
      <c r="B219" t="inlineStr">
        <is>
          <t>Hydrogen demand</t>
        </is>
      </c>
      <c r="C219" t="inlineStr">
        <is>
          <t>H_p</t>
        </is>
      </c>
      <c r="D219" t="n">
        <v>51523.67834242811</v>
      </c>
      <c r="E219" t="inlineStr">
        <is>
          <t>t-CO2/y</t>
        </is>
      </c>
      <c r="F219" t="inlineStr">
        <is>
          <t>already CO2</t>
        </is>
      </c>
      <c r="G219" t="inlineStr">
        <is>
          <t>t-CO2/y</t>
        </is>
      </c>
      <c r="H219" t="inlineStr">
        <is>
          <t>CAP</t>
        </is>
      </c>
      <c r="I219" t="inlineStr">
        <is>
          <t>H_p x s_cap x m_H2</t>
        </is>
      </c>
      <c r="J219" t="inlineStr">
        <is>
          <t>random</t>
        </is>
      </c>
      <c r="K219" t="inlineStr">
        <is>
          <t>m_H2 shared by all utilization pathways</t>
        </is>
      </c>
      <c r="L219" t="inlineStr">
        <is>
          <t>none</t>
        </is>
      </c>
      <c r="M219" t="inlineStr">
        <is>
          <t>+</t>
        </is>
      </c>
      <c r="N219" t="inlineStr">
        <is>
          <t>harmonised inventory</t>
        </is>
      </c>
    </row>
    <row r="220">
      <c r="A220" t="inlineStr">
        <is>
          <t>U2a</t>
        </is>
      </c>
      <c r="B220" t="inlineStr">
        <is>
          <t>Direct fossil-carbon emission</t>
        </is>
      </c>
      <c r="C220" t="inlineStr">
        <is>
          <t>F</t>
        </is>
      </c>
      <c r="D220" t="n">
        <v>26475.1872</v>
      </c>
      <c r="E220" t="inlineStr">
        <is>
          <t>t-CO2/y</t>
        </is>
      </c>
      <c r="F220" t="inlineStr">
        <is>
          <t>already CO2</t>
        </is>
      </c>
      <c r="G220" t="inlineStr">
        <is>
          <t>t-CO2/y</t>
        </is>
      </c>
      <c r="H220" t="inlineStr">
        <is>
          <t>CARBON</t>
        </is>
      </c>
      <c r="I220" t="inlineStr">
        <is>
          <t>enters phi; see the carbon-flow rows below</t>
        </is>
      </c>
      <c r="J220" t="inlineStr">
        <is>
          <t>random</t>
        </is>
      </c>
      <c r="K220" t="inlineStr">
        <is>
          <t>F shared by all pathways</t>
        </is>
      </c>
      <c r="L220" t="inlineStr">
        <is>
          <t>none</t>
        </is>
      </c>
      <c r="M220" t="inlineStr">
        <is>
          <t>+</t>
        </is>
      </c>
      <c r="N220" t="inlineStr">
        <is>
          <t>national waste survey</t>
        </is>
      </c>
    </row>
    <row r="221">
      <c r="A221" t="inlineStr">
        <is>
          <t>U2a</t>
        </is>
      </c>
      <c r="B221" t="inlineStr">
        <is>
          <t>Uncaptured fossil fraction</t>
        </is>
      </c>
      <c r="C221" t="inlineStr">
        <is>
          <t>(1-cr) F</t>
        </is>
      </c>
      <c r="D221" t="inlineStr">
        <is>
          <t>applies</t>
        </is>
      </c>
      <c r="E221" t="inlineStr">
        <is>
          <t>t-CO2/y</t>
        </is>
      </c>
      <c r="F221" t="inlineStr">
        <is>
          <t>already CO2</t>
        </is>
      </c>
      <c r="G221" t="inlineStr">
        <is>
          <t>t-CO2/y</t>
        </is>
      </c>
      <c r="H221" t="inlineStr">
        <is>
          <t>CARBON</t>
        </is>
      </c>
      <c r="I221" t="inlineStr">
        <is>
          <t>(1 - cr) x F, charged exactly once</t>
        </is>
      </c>
      <c r="J221" t="inlineStr">
        <is>
          <t>random through cr</t>
        </is>
      </c>
      <c r="K221" t="inlineStr">
        <is>
          <t>cr shared by capture pathways</t>
        </is>
      </c>
      <c r="L221" t="inlineStr">
        <is>
          <t>none</t>
        </is>
      </c>
      <c r="M221" t="inlineStr">
        <is>
          <t>+</t>
        </is>
      </c>
      <c r="N221" t="inlineStr">
        <is>
          <t>model</t>
        </is>
      </c>
    </row>
    <row r="222">
      <c r="A222" t="inlineStr">
        <is>
          <t>U2a</t>
        </is>
      </c>
      <c r="B222" t="inlineStr">
        <is>
          <t>Mineralization reactor loss</t>
        </is>
      </c>
      <c r="C222" t="inlineStr">
        <is>
          <t>N/A</t>
        </is>
      </c>
      <c r="D222" t="inlineStr">
        <is>
          <t>N/A</t>
        </is>
      </c>
      <c r="E222" t="inlineStr">
        <is>
          <t>N/A</t>
        </is>
      </c>
      <c r="F222" t="inlineStr">
        <is>
          <t>N/A</t>
        </is>
      </c>
      <c r="G222" t="inlineStr">
        <is>
          <t>N/A</t>
        </is>
      </c>
      <c r="H222" t="inlineStr">
        <is>
          <t>N/A</t>
        </is>
      </c>
      <c r="I222" t="inlineStr">
        <is>
          <t>N/A</t>
        </is>
      </c>
      <c r="J222" t="inlineStr">
        <is>
          <t>N/A</t>
        </is>
      </c>
      <c r="K222" t="inlineStr">
        <is>
          <t>N/A</t>
        </is>
      </c>
      <c r="L222" t="inlineStr">
        <is>
          <t>N/A</t>
        </is>
      </c>
      <c r="M222" t="inlineStr">
        <is>
          <t>N/A</t>
        </is>
      </c>
      <c r="N222" t="inlineStr">
        <is>
          <t>N/A</t>
        </is>
      </c>
    </row>
    <row r="223">
      <c r="A223" t="inlineStr">
        <is>
          <t>U2a</t>
        </is>
      </c>
      <c r="B223" t="inlineStr">
        <is>
          <t>CCU process vent</t>
        </is>
      </c>
      <c r="C223" t="inlineStr">
        <is>
          <t>V_p</t>
        </is>
      </c>
      <c r="D223" t="n">
        <v>4701.139958592001</v>
      </c>
      <c r="E223" t="inlineStr">
        <is>
          <t>t-CO2/y</t>
        </is>
      </c>
      <c r="F223" t="inlineStr">
        <is>
          <t>already CO2</t>
        </is>
      </c>
      <c r="G223" t="inlineStr">
        <is>
          <t>t-CO2/y</t>
        </is>
      </c>
      <c r="H223" t="inlineStr">
        <is>
          <t>CAP</t>
        </is>
      </c>
      <c r="I223" t="inlineStr">
        <is>
          <t>V_p x s_cap x f, inside phi (mixed-basis vent at its fossil share)</t>
        </is>
      </c>
      <c r="J223" t="inlineStr">
        <is>
          <t>random</t>
        </is>
      </c>
      <c r="K223" t="inlineStr">
        <is>
          <t>pathway-specific</t>
        </is>
      </c>
      <c r="L223" t="inlineStr">
        <is>
          <t>none</t>
        </is>
      </c>
      <c r="M223" t="inlineStr">
        <is>
          <t>+</t>
        </is>
      </c>
      <c r="N223" t="inlineStr">
        <is>
          <t>source workbook</t>
        </is>
      </c>
    </row>
    <row r="224">
      <c r="A224" t="inlineStr">
        <is>
          <t>U2a</t>
        </is>
      </c>
      <c r="B224" t="inlineStr">
        <is>
          <t>Product output</t>
        </is>
      </c>
      <c r="C224" t="inlineStr">
        <is>
          <t>derived</t>
        </is>
      </c>
      <c r="D224" t="inlineStr">
        <is>
          <t>proportional to captured CO2</t>
        </is>
      </c>
      <c r="E224" t="inlineStr">
        <is>
          <t>t-CO2/y</t>
        </is>
      </c>
      <c r="F224" t="inlineStr">
        <is>
          <t>stoichiometric</t>
        </is>
      </c>
      <c r="G224" t="inlineStr">
        <is>
          <t>t-CO2/y</t>
        </is>
      </c>
      <c r="H224" t="inlineStr">
        <is>
          <t>CAP</t>
        </is>
      </c>
      <c r="I224" t="inlineStr">
        <is>
          <t>proportional to cr x T; enters through QA and QB</t>
        </is>
      </c>
      <c r="J224" t="inlineStr">
        <is>
          <t>random</t>
        </is>
      </c>
      <c r="K224" t="inlineStr">
        <is>
          <t>pathway-specific</t>
        </is>
      </c>
      <c r="L224" t="inlineStr">
        <is>
          <t>none</t>
        </is>
      </c>
      <c r="M224" t="inlineStr">
        <is>
          <t>n/a</t>
        </is>
      </c>
      <c r="N224" t="inlineStr">
        <is>
          <t>harmonised inventory</t>
        </is>
      </c>
    </row>
    <row r="225">
      <c r="A225" t="inlineStr">
        <is>
          <t>U2a</t>
        </is>
      </c>
      <c r="B225" t="inlineStr">
        <is>
          <t>Displaced-product burden (cradle-to-grave)</t>
        </is>
      </c>
      <c r="C225" t="inlineStr">
        <is>
          <t>QA_p</t>
        </is>
      </c>
      <c r="D225" t="n">
        <v>133921.1348836072</v>
      </c>
      <c r="E225" t="inlineStr">
        <is>
          <t>t-CO2/y</t>
        </is>
      </c>
      <c r="F225" t="inlineStr">
        <is>
          <t>already CO2</t>
        </is>
      </c>
      <c r="G225" t="inlineStr">
        <is>
          <t>t-CO2/y</t>
        </is>
      </c>
      <c r="H225" t="inlineStr">
        <is>
          <t>CAP</t>
        </is>
      </c>
      <c r="I225" t="inlineStr">
        <is>
          <t>minus QA x s_cap, INSIDE phi</t>
        </is>
      </c>
      <c r="J225" t="inlineStr">
        <is>
          <t>random</t>
        </is>
      </c>
      <c r="K225" t="inlineStr">
        <is>
          <t>pathway-specific</t>
        </is>
      </c>
      <c r="L225" t="inlineStr">
        <is>
          <t>none</t>
        </is>
      </c>
      <c r="M225" t="inlineStr">
        <is>
          <t>-</t>
        </is>
      </c>
      <c r="N225" t="inlineStr">
        <is>
          <t>CFP database factors x product mass</t>
        </is>
      </c>
    </row>
    <row r="226">
      <c r="A226" t="inlineStr">
        <is>
          <t>U2a</t>
        </is>
      </c>
      <c r="B226" t="inlineStr">
        <is>
          <t>Product fossil-combustion charge</t>
        </is>
      </c>
      <c r="C226" t="inlineStr">
        <is>
          <t>QB_p</t>
        </is>
      </c>
      <c r="D226" t="n">
        <v>64012.24286528664</v>
      </c>
      <c r="E226" t="inlineStr">
        <is>
          <t>t-CO2/y</t>
        </is>
      </c>
      <c r="F226" t="inlineStr">
        <is>
          <t>already CO2</t>
        </is>
      </c>
      <c r="G226" t="inlineStr">
        <is>
          <t>t-CO2/y</t>
        </is>
      </c>
      <c r="H226" t="inlineStr">
        <is>
          <t>CAP</t>
        </is>
      </c>
      <c r="I226" t="inlineStr">
        <is>
          <t>plus f x QB x s_cap, INSIDE phi; the net credit is (QA - f QB) x s_cap</t>
        </is>
      </c>
      <c r="J226" t="inlineStr">
        <is>
          <t>random</t>
        </is>
      </c>
      <c r="K226" t="inlineStr">
        <is>
          <t>pathway-specific</t>
        </is>
      </c>
      <c r="L226" t="inlineStr">
        <is>
          <t>none</t>
        </is>
      </c>
      <c r="M226" t="inlineStr">
        <is>
          <t>+</t>
        </is>
      </c>
      <c r="N226" t="inlineStr">
        <is>
          <t>stoichiometric combustion of the synthesised product</t>
        </is>
      </c>
    </row>
    <row r="227">
      <c r="A227" t="inlineStr">
        <is>
          <t>U2a</t>
        </is>
      </c>
      <c r="B227" t="inlineStr">
        <is>
          <t>Diverted plastic carbon</t>
        </is>
      </c>
      <c r="C227" t="inlineStr">
        <is>
          <t>N/A</t>
        </is>
      </c>
      <c r="D227" t="inlineStr">
        <is>
          <t>N/A</t>
        </is>
      </c>
      <c r="E227" t="inlineStr">
        <is>
          <t>N/A</t>
        </is>
      </c>
      <c r="F227" t="inlineStr">
        <is>
          <t>N/A</t>
        </is>
      </c>
      <c r="G227" t="inlineStr">
        <is>
          <t>N/A</t>
        </is>
      </c>
      <c r="H227" t="inlineStr">
        <is>
          <t>N/A</t>
        </is>
      </c>
      <c r="I227" t="inlineStr">
        <is>
          <t>N/A</t>
        </is>
      </c>
      <c r="J227" t="inlineStr">
        <is>
          <t>N/A</t>
        </is>
      </c>
      <c r="K227" t="inlineStr">
        <is>
          <t>N/A</t>
        </is>
      </c>
      <c r="L227" t="inlineStr">
        <is>
          <t>N/A</t>
        </is>
      </c>
      <c r="M227" t="inlineStr">
        <is>
          <t>N/A</t>
        </is>
      </c>
      <c r="N227" t="inlineStr">
        <is>
          <t>N/A</t>
        </is>
      </c>
    </row>
    <row r="228">
      <c r="A228" t="inlineStr">
        <is>
          <t>U2a</t>
        </is>
      </c>
      <c r="B228" t="inlineStr">
        <is>
          <t>Permanent geological storage</t>
        </is>
      </c>
      <c r="C228" t="inlineStr">
        <is>
          <t>N/A</t>
        </is>
      </c>
      <c r="D228" t="inlineStr">
        <is>
          <t>N/A</t>
        </is>
      </c>
      <c r="E228" t="inlineStr">
        <is>
          <t>N/A</t>
        </is>
      </c>
      <c r="F228" t="inlineStr">
        <is>
          <t>N/A</t>
        </is>
      </c>
      <c r="G228" t="inlineStr">
        <is>
          <t>N/A</t>
        </is>
      </c>
      <c r="H228" t="inlineStr">
        <is>
          <t>N/A</t>
        </is>
      </c>
      <c r="I228" t="inlineStr">
        <is>
          <t>N/A</t>
        </is>
      </c>
      <c r="J228" t="inlineStr">
        <is>
          <t>N/A</t>
        </is>
      </c>
      <c r="K228" t="inlineStr">
        <is>
          <t>N/A</t>
        </is>
      </c>
      <c r="L228" t="inlineStr">
        <is>
          <t>N/A</t>
        </is>
      </c>
      <c r="M228" t="inlineStr">
        <is>
          <t>N/A</t>
        </is>
      </c>
      <c r="N228" t="inlineStr">
        <is>
          <t>N/A</t>
        </is>
      </c>
    </row>
    <row r="229">
      <c r="A229" t="inlineStr">
        <is>
          <t>U2a</t>
        </is>
      </c>
      <c r="B229" t="inlineStr">
        <is>
          <t>Temporary product storage</t>
        </is>
      </c>
      <c r="C229" t="inlineStr">
        <is>
          <t>tau_50, k</t>
        </is>
      </c>
      <c r="D229" t="inlineStr">
        <is>
          <t>applies</t>
        </is>
      </c>
      <c r="E229" t="inlineStr">
        <is>
          <t>y</t>
        </is>
      </c>
      <c r="F229" t="inlineStr">
        <is>
          <t>Weibull</t>
        </is>
      </c>
      <c r="G229" t="inlineStr">
        <is>
          <t>t-CO2/y</t>
        </is>
      </c>
      <c r="H229" t="inlineStr">
        <is>
          <t>not included</t>
        </is>
      </c>
      <c r="I229" t="inlineStr">
        <is>
          <t>enters the dynamic climate layer only; the static balance is time-independent</t>
        </is>
      </c>
      <c r="J229" t="inlineStr">
        <is>
          <t>deterministic</t>
        </is>
      </c>
      <c r="K229" t="inlineStr">
        <is>
          <t>pathway-specific</t>
        </is>
      </c>
      <c r="L229" t="inlineStr">
        <is>
          <t>none</t>
        </is>
      </c>
      <c r="M229" t="inlineStr">
        <is>
          <t>n/a</t>
        </is>
      </c>
      <c r="N229" t="inlineStr">
        <is>
          <t>Table 1 (main text)</t>
        </is>
      </c>
    </row>
    <row r="230">
      <c r="A230" t="inlineStr">
        <is>
          <t>U2a</t>
        </is>
      </c>
      <c r="B230" t="inlineStr">
        <is>
          <t>Final atmospheric release</t>
        </is>
      </c>
      <c r="C230" t="inlineStr">
        <is>
          <t>E_product,f</t>
        </is>
      </c>
      <c r="D230" t="inlineStr">
        <is>
          <t>applies</t>
        </is>
      </c>
      <c r="E230" t="inlineStr">
        <is>
          <t>t-CO2/y</t>
        </is>
      </c>
      <c r="F230" t="inlineStr">
        <is>
          <t>already CO2</t>
        </is>
      </c>
      <c r="G230" t="inlineStr">
        <is>
          <t>t-CO2/y</t>
        </is>
      </c>
      <c r="H230" t="inlineStr">
        <is>
          <t>CARBON</t>
        </is>
      </c>
      <c r="I230" t="inlineStr">
        <is>
          <t>accounted through the QB charge (utilization) or D_p (recycling); the deferred release of U2b enters the dynamic layer</t>
        </is>
      </c>
      <c r="J230" t="inlineStr">
        <is>
          <t>random</t>
        </is>
      </c>
      <c r="K230" t="inlineStr">
        <is>
          <t>pathway-specific</t>
        </is>
      </c>
      <c r="L230" t="inlineStr">
        <is>
          <t>A/B for recycling</t>
        </is>
      </c>
      <c r="M230" t="inlineStr">
        <is>
          <t>+</t>
        </is>
      </c>
      <c r="N230" t="inlineStr">
        <is>
          <t>model</t>
        </is>
      </c>
    </row>
    <row r="231">
      <c r="A231" t="inlineStr">
        <is>
          <t>U2a</t>
        </is>
      </c>
      <c r="B231" t="inlineStr">
        <is>
          <t>Capture solvent burden (R1 explicit)</t>
        </is>
      </c>
      <c r="C231" t="inlineStr">
        <is>
          <t>R_p</t>
        </is>
      </c>
      <c r="D231" t="n">
        <v>1057.227651280685</v>
      </c>
      <c r="E231" t="inlineStr">
        <is>
          <t>t-CO2/y</t>
        </is>
      </c>
      <c r="F231" t="inlineStr">
        <is>
          <t>already CO2</t>
        </is>
      </c>
      <c r="G231" t="inlineStr">
        <is>
          <t>t-CO2/y</t>
        </is>
      </c>
      <c r="H231" t="inlineStr">
        <is>
          <t>CAP</t>
        </is>
      </c>
      <c r="I231" t="inlineStr">
        <is>
          <t>R_p x s_cap x m_reag</t>
        </is>
      </c>
      <c r="J231" t="inlineStr">
        <is>
          <t>random through m_reag</t>
        </is>
      </c>
      <c r="K231" t="inlineStr">
        <is>
          <t>m_reag shared by all capture pathways</t>
        </is>
      </c>
      <c r="L231" t="inlineStr">
        <is>
          <t>none</t>
        </is>
      </c>
      <c r="M231" t="inlineStr">
        <is>
          <t>+</t>
        </is>
      </c>
      <c r="N231" t="inlineStr">
        <is>
          <t>Bisinella et al. 2021, Table 4: 12 kg CO2-eq per t ww</t>
        </is>
      </c>
    </row>
    <row r="232">
      <c r="A232" t="inlineStr">
        <is>
          <t>U2a</t>
        </is>
      </c>
      <c r="B232" t="inlineStr">
        <is>
          <t>Transport (R1 explicit: CO2 to storage / ore / slag / CO2 to synthesis)</t>
        </is>
      </c>
      <c r="C232" t="inlineStr">
        <is>
          <t>Tr_p</t>
        </is>
      </c>
      <c r="D232" t="n">
        <v>449.9662531795201</v>
      </c>
      <c r="E232" t="inlineStr">
        <is>
          <t>t-CO2/y</t>
        </is>
      </c>
      <c r="F232" t="inlineStr">
        <is>
          <t>already CO2</t>
        </is>
      </c>
      <c r="G232" t="inlineStr">
        <is>
          <t>t-CO2/y</t>
        </is>
      </c>
      <c r="H232" t="inlineStr">
        <is>
          <t>CAP</t>
        </is>
      </c>
      <c r="I232" t="inlineStr">
        <is>
          <t>Tr_p x s_cap x m_trans</t>
        </is>
      </c>
      <c r="J232" t="inlineStr">
        <is>
          <t>random through m_trans</t>
        </is>
      </c>
      <c r="K232" t="inlineStr">
        <is>
          <t>m_trans shared within capture family</t>
        </is>
      </c>
      <c r="L232" t="inlineStr">
        <is>
          <t>none</t>
        </is>
      </c>
      <c r="M232" t="inlineStr">
        <is>
          <t>+</t>
        </is>
      </c>
      <c r="N232" t="inlineStr">
        <is>
          <t>G: Bisinella et al. 2021 Section 2.4; M: source workbook t-km; U: source workbook</t>
        </is>
      </c>
    </row>
    <row r="233">
      <c r="A233" t="inlineStr">
        <is>
          <t>U2a</t>
        </is>
      </c>
      <c r="B233" t="inlineStr">
        <is>
          <t>Product transport</t>
        </is>
      </c>
      <c r="C233" t="inlineStr">
        <is>
          <t>N/A</t>
        </is>
      </c>
      <c r="D233" t="inlineStr">
        <is>
          <t>N/A</t>
        </is>
      </c>
      <c r="E233" t="inlineStr">
        <is>
          <t>N/A</t>
        </is>
      </c>
      <c r="F233" t="inlineStr">
        <is>
          <t>N/A</t>
        </is>
      </c>
      <c r="G233" t="inlineStr">
        <is>
          <t>N/A</t>
        </is>
      </c>
      <c r="H233" t="inlineStr">
        <is>
          <t>N/A</t>
        </is>
      </c>
      <c r="I233" t="inlineStr">
        <is>
          <t>N/A</t>
        </is>
      </c>
      <c r="J233" t="inlineStr">
        <is>
          <t>N/A</t>
        </is>
      </c>
      <c r="K233" t="inlineStr">
        <is>
          <t>N/A</t>
        </is>
      </c>
      <c r="L233" t="inlineStr">
        <is>
          <t>N/A</t>
        </is>
      </c>
      <c r="M233" t="inlineStr">
        <is>
          <t>N/A</t>
        </is>
      </c>
      <c r="N233" t="inlineStr">
        <is>
          <t>N/A</t>
        </is>
      </c>
    </row>
    <row r="234">
      <c r="A234" t="inlineStr">
        <is>
          <t>U2a</t>
        </is>
      </c>
      <c r="B234" t="inlineStr">
        <is>
          <t>Capital-related burdens</t>
        </is>
      </c>
      <c r="C234" t="inlineStr">
        <is>
          <t>C_cap</t>
        </is>
      </c>
      <c r="D234" t="inlineStr">
        <is>
          <t>inside residual</t>
        </is>
      </c>
      <c r="E234" t="inlineStr">
        <is>
          <t>t-CO2/y</t>
        </is>
      </c>
      <c r="F234" t="inlineStr">
        <is>
          <t>annualised</t>
        </is>
      </c>
      <c r="G234" t="inlineStr">
        <is>
          <t>t-CO2/y</t>
        </is>
      </c>
      <c r="H234" t="inlineStr">
        <is>
          <t>RESIDUAL</t>
        </is>
      </c>
      <c r="I234" t="inlineStr">
        <is>
          <t>annualised, held at its national value, x m_rem</t>
        </is>
      </c>
      <c r="J234" t="inlineStr">
        <is>
          <t>random through m_rem</t>
        </is>
      </c>
      <c r="K234" t="inlineStr">
        <is>
          <t>pathway-specific</t>
        </is>
      </c>
      <c r="L234" t="inlineStr">
        <is>
          <t>none</t>
        </is>
      </c>
      <c r="M234" t="inlineStr">
        <is>
          <t>+</t>
        </is>
      </c>
      <c r="N234" t="inlineStr">
        <is>
          <t>calibrated remainder</t>
        </is>
      </c>
    </row>
    <row r="235">
      <c r="A235" t="inlineStr">
        <is>
          <t>U2a</t>
        </is>
      </c>
      <c r="B235" t="inlineStr">
        <is>
          <t>Calibrated residual, total</t>
        </is>
      </c>
      <c r="C235" t="inlineStr">
        <is>
          <t>C_p</t>
        </is>
      </c>
      <c r="D235" t="n">
        <v>980.1</v>
      </c>
      <c r="E235" t="inlineStr">
        <is>
          <t>t-CO2/y</t>
        </is>
      </c>
      <c r="F235" t="inlineStr">
        <is>
          <t>already CO2</t>
        </is>
      </c>
      <c r="G235" t="inlineStr">
        <is>
          <t>t-CO2/y</t>
        </is>
      </c>
      <c r="H235" t="inlineStr">
        <is>
          <t>RESIDUAL</t>
        </is>
      </c>
      <c r="I235" t="inlineStr">
        <is>
          <t>C_p x m_rem</t>
        </is>
      </c>
      <c r="J235" t="inlineStr">
        <is>
          <t>random through m_rem</t>
        </is>
      </c>
      <c r="K235" t="inlineStr">
        <is>
          <t>pathway-specific</t>
        </is>
      </c>
      <c r="L235" t="inlineStr">
        <is>
          <t>shifts with the anchor under B</t>
        </is>
      </c>
      <c r="M235" t="inlineStr">
        <is>
          <t>+/-</t>
        </is>
      </c>
      <c r="N235" t="inlineStr">
        <is>
          <t>verified national value minus the explicit groups</t>
        </is>
      </c>
    </row>
    <row r="236">
      <c r="A236" t="inlineStr">
        <is>
          <t>U2b</t>
        </is>
      </c>
      <c r="B236" t="inlineStr">
        <is>
          <t>Plant auxiliary electricity</t>
        </is>
      </c>
      <c r="C236" t="inlineStr">
        <is>
          <t>E_aux</t>
        </is>
      </c>
      <c r="D236" t="n">
        <v>24360</v>
      </c>
      <c r="E236" t="inlineStr">
        <is>
          <t>MWh/y</t>
        </is>
      </c>
      <c r="F236" t="inlineStr">
        <is>
          <t>EF</t>
        </is>
      </c>
      <c r="G236" t="inlineStr">
        <is>
          <t>t-CO2/y</t>
        </is>
      </c>
      <c r="H236" t="inlineStr">
        <is>
          <t>FIXED</t>
        </is>
      </c>
      <c r="I236" t="inlineStr">
        <is>
          <t>E_aux x EF</t>
        </is>
      </c>
      <c r="J236" t="inlineStr">
        <is>
          <t>random through EF</t>
        </is>
      </c>
      <c r="K236" t="inlineStr">
        <is>
          <t>EF shared by all pathways</t>
        </is>
      </c>
      <c r="L236" t="inlineStr">
        <is>
          <t>none</t>
        </is>
      </c>
      <c r="M236" t="inlineStr">
        <is>
          <t>+</t>
        </is>
      </c>
      <c r="N236" t="inlineStr">
        <is>
          <t>harmonised inventory</t>
        </is>
      </c>
    </row>
    <row r="237">
      <c r="A237" t="inlineStr">
        <is>
          <t>U2b</t>
        </is>
      </c>
      <c r="B237" t="inlineStr">
        <is>
          <t>Baseline electricity export</t>
        </is>
      </c>
      <c r="C237" t="inlineStr">
        <is>
          <t>E_exp_base</t>
        </is>
      </c>
      <c r="D237" t="n">
        <v>-43207</v>
      </c>
      <c r="E237" t="inlineStr">
        <is>
          <t>MWh/y</t>
        </is>
      </c>
      <c r="F237" t="inlineStr">
        <is>
          <t>EF</t>
        </is>
      </c>
      <c r="G237" t="inlineStr">
        <is>
          <t>t-CO2/y</t>
        </is>
      </c>
      <c r="H237" t="inlineStr">
        <is>
          <t>FIXED</t>
        </is>
      </c>
      <c r="I237" t="inlineStr">
        <is>
          <t>minus E_exp_base x EF</t>
        </is>
      </c>
      <c r="J237" t="inlineStr">
        <is>
          <t>random through EF</t>
        </is>
      </c>
      <c r="K237" t="inlineStr">
        <is>
          <t>EF shared by all pathways</t>
        </is>
      </c>
      <c r="L237" t="inlineStr">
        <is>
          <t>none</t>
        </is>
      </c>
      <c r="M237" t="inlineStr">
        <is>
          <t>-</t>
        </is>
      </c>
      <c r="N237" t="inlineStr">
        <is>
          <t>harmonised inventory</t>
        </is>
      </c>
    </row>
    <row r="238">
      <c r="A238" t="inlineStr">
        <is>
          <t>U2b</t>
        </is>
      </c>
      <c r="B238" t="inlineStr">
        <is>
          <t>Steam generation burden</t>
        </is>
      </c>
      <c r="C238" t="inlineStr">
        <is>
          <t>n/a</t>
        </is>
      </c>
      <c r="D238" t="inlineStr">
        <is>
          <t>not separate</t>
        </is>
      </c>
      <c r="E238" t="inlineStr">
        <is>
          <t>MWh/y</t>
        </is>
      </c>
      <c r="F238" t="inlineStr">
        <is>
          <t>n/a</t>
        </is>
      </c>
      <c r="G238" t="inlineStr">
        <is>
          <t>t-CO2/y</t>
        </is>
      </c>
      <c r="H238" t="inlineStr">
        <is>
          <t>FIXED</t>
        </is>
      </c>
      <c r="I238" t="inlineStr">
        <is>
          <t>inside E_exp_base; same waste tonnage in every region</t>
        </is>
      </c>
      <c r="J238" t="inlineStr">
        <is>
          <t>deterministic</t>
        </is>
      </c>
      <c r="K238" t="inlineStr">
        <is>
          <t>shared by all pathways</t>
        </is>
      </c>
      <c r="L238" t="inlineStr">
        <is>
          <t>none</t>
        </is>
      </c>
      <c r="M238" t="inlineStr">
        <is>
          <t>n/a</t>
        </is>
      </c>
      <c r="N238" t="inlineStr">
        <is>
          <t>harmonised inventory</t>
        </is>
      </c>
    </row>
    <row r="239">
      <c r="A239" t="inlineStr">
        <is>
          <t>U2b</t>
        </is>
      </c>
      <c r="B239" t="inlineStr">
        <is>
          <t>Steam-extraction export penalty</t>
        </is>
      </c>
      <c r="C239" t="inlineStr">
        <is>
          <t>P_steam</t>
        </is>
      </c>
      <c r="D239" t="n">
        <v>13087</v>
      </c>
      <c r="E239" t="inlineStr">
        <is>
          <t>MWh/y</t>
        </is>
      </c>
      <c r="F239" t="inlineStr">
        <is>
          <t>EF</t>
        </is>
      </c>
      <c r="G239" t="inlineStr">
        <is>
          <t>t-CO2/y</t>
        </is>
      </c>
      <c r="H239" t="inlineStr">
        <is>
          <t>CAP</t>
        </is>
      </c>
      <c r="I239" t="inlineStr">
        <is>
          <t>P_steam x s_cap x EF</t>
        </is>
      </c>
      <c r="J239" t="inlineStr">
        <is>
          <t>random through EF and cr</t>
        </is>
      </c>
      <c r="K239" t="inlineStr">
        <is>
          <t>EF and cr shared</t>
        </is>
      </c>
      <c r="L239" t="inlineStr">
        <is>
          <t>none</t>
        </is>
      </c>
      <c r="M239" t="inlineStr">
        <is>
          <t>+</t>
        </is>
      </c>
      <c r="N239" t="inlineStr">
        <is>
          <t>E_exp_base minus E_exp_cc</t>
        </is>
      </c>
    </row>
    <row r="240">
      <c r="A240" t="inlineStr">
        <is>
          <t>U2b</t>
        </is>
      </c>
      <c r="B240" t="inlineStr">
        <is>
          <t>Capture electricity</t>
        </is>
      </c>
      <c r="C240" t="inlineStr">
        <is>
          <t>E_proc part</t>
        </is>
      </c>
      <c r="D240" t="inlineStr">
        <is>
          <t>inside E_proc</t>
        </is>
      </c>
      <c r="E240" t="inlineStr">
        <is>
          <t>MWh/y</t>
        </is>
      </c>
      <c r="F240" t="inlineStr">
        <is>
          <t>EF</t>
        </is>
      </c>
      <c r="G240" t="inlineStr">
        <is>
          <t>t-CO2/y</t>
        </is>
      </c>
      <c r="H240" t="inlineStr">
        <is>
          <t>CAP</t>
        </is>
      </c>
      <c r="I240" t="inlineStr">
        <is>
          <t>E_proc x s_cap x EF x m_el</t>
        </is>
      </c>
      <c r="J240" t="inlineStr">
        <is>
          <t>random</t>
        </is>
      </c>
      <c r="K240" t="inlineStr">
        <is>
          <t>m_el shared within family</t>
        </is>
      </c>
      <c r="L240" t="inlineStr">
        <is>
          <t>none</t>
        </is>
      </c>
      <c r="M240" t="inlineStr">
        <is>
          <t>+</t>
        </is>
      </c>
      <c r="N240" t="inlineStr">
        <is>
          <t>harmonised inventory</t>
        </is>
      </c>
    </row>
    <row r="241">
      <c r="A241" t="inlineStr">
        <is>
          <t>U2b</t>
        </is>
      </c>
      <c r="B241" t="inlineStr">
        <is>
          <t>CO2 compression electricity</t>
        </is>
      </c>
      <c r="C241" t="inlineStr">
        <is>
          <t>E_proc part</t>
        </is>
      </c>
      <c r="D241" t="inlineStr">
        <is>
          <t>inside E_proc</t>
        </is>
      </c>
      <c r="E241" t="inlineStr">
        <is>
          <t>MWh/y</t>
        </is>
      </c>
      <c r="F241" t="inlineStr">
        <is>
          <t>EF</t>
        </is>
      </c>
      <c r="G241" t="inlineStr">
        <is>
          <t>t-CO2/y</t>
        </is>
      </c>
      <c r="H241" t="inlineStr">
        <is>
          <t>CAP</t>
        </is>
      </c>
      <c r="I241" t="inlineStr">
        <is>
          <t>E_proc x s_cap x EF x m_el</t>
        </is>
      </c>
      <c r="J241" t="inlineStr">
        <is>
          <t>random</t>
        </is>
      </c>
      <c r="K241" t="inlineStr">
        <is>
          <t>m_el shared within family</t>
        </is>
      </c>
      <c r="L241" t="inlineStr">
        <is>
          <t>none</t>
        </is>
      </c>
      <c r="M241" t="inlineStr">
        <is>
          <t>+</t>
        </is>
      </c>
      <c r="N241" t="inlineStr">
        <is>
          <t>harmonised inventory</t>
        </is>
      </c>
    </row>
    <row r="242">
      <c r="A242" t="inlineStr">
        <is>
          <t>U2b</t>
        </is>
      </c>
      <c r="B242" t="inlineStr">
        <is>
          <t>Conversion electricity</t>
        </is>
      </c>
      <c r="C242" t="inlineStr">
        <is>
          <t>E_proc part</t>
        </is>
      </c>
      <c r="D242" t="inlineStr">
        <is>
          <t>inside E_proc</t>
        </is>
      </c>
      <c r="E242" t="inlineStr">
        <is>
          <t>MWh/y</t>
        </is>
      </c>
      <c r="F242" t="inlineStr">
        <is>
          <t>EF</t>
        </is>
      </c>
      <c r="G242" t="inlineStr">
        <is>
          <t>t-CO2/y</t>
        </is>
      </c>
      <c r="H242" t="inlineStr">
        <is>
          <t>CAP</t>
        </is>
      </c>
      <c r="I242" t="inlineStr">
        <is>
          <t>E_proc x s_cap x EF x m_el</t>
        </is>
      </c>
      <c r="J242" t="inlineStr">
        <is>
          <t>random</t>
        </is>
      </c>
      <c r="K242" t="inlineStr">
        <is>
          <t>m_el shared within family</t>
        </is>
      </c>
      <c r="L242" t="inlineStr">
        <is>
          <t>none</t>
        </is>
      </c>
      <c r="M242" t="inlineStr">
        <is>
          <t>+</t>
        </is>
      </c>
      <c r="N242" t="inlineStr">
        <is>
          <t>harmonised inventory</t>
        </is>
      </c>
    </row>
    <row r="243">
      <c r="A243" t="inlineStr">
        <is>
          <t>U2b</t>
        </is>
      </c>
      <c r="B243" t="inlineStr">
        <is>
          <t>Total capture, compression and conversion electricity</t>
        </is>
      </c>
      <c r="C243" t="inlineStr">
        <is>
          <t>E_proc</t>
        </is>
      </c>
      <c r="D243" t="n">
        <v>22498.82532418413</v>
      </c>
      <c r="E243" t="inlineStr">
        <is>
          <t>MWh/y</t>
        </is>
      </c>
      <c r="F243" t="inlineStr">
        <is>
          <t>EF</t>
        </is>
      </c>
      <c r="G243" t="inlineStr">
        <is>
          <t>t-CO2/y</t>
        </is>
      </c>
      <c r="H243" t="inlineStr">
        <is>
          <t>CAP</t>
        </is>
      </c>
      <c r="I243" t="inlineStr">
        <is>
          <t>E_proc x s_cap x EF x m_el</t>
        </is>
      </c>
      <c r="J243" t="inlineStr">
        <is>
          <t>random</t>
        </is>
      </c>
      <c r="K243" t="inlineStr">
        <is>
          <t>m_el shared within family</t>
        </is>
      </c>
      <c r="L243" t="inlineStr">
        <is>
          <t>none</t>
        </is>
      </c>
      <c r="M243" t="inlineStr">
        <is>
          <t>+</t>
        </is>
      </c>
      <c r="N243" t="inlineStr">
        <is>
          <t>harmonised inventory</t>
        </is>
      </c>
    </row>
    <row r="244">
      <c r="A244" t="inlineStr">
        <is>
          <t>U2b</t>
        </is>
      </c>
      <c r="B244" t="inlineStr">
        <is>
          <t>Pyrolysis electricity</t>
        </is>
      </c>
      <c r="C244" t="inlineStr">
        <is>
          <t>N/A</t>
        </is>
      </c>
      <c r="D244" t="inlineStr">
        <is>
          <t>N/A</t>
        </is>
      </c>
      <c r="E244" t="inlineStr">
        <is>
          <t>N/A</t>
        </is>
      </c>
      <c r="F244" t="inlineStr">
        <is>
          <t>N/A</t>
        </is>
      </c>
      <c r="G244" t="inlineStr">
        <is>
          <t>N/A</t>
        </is>
      </c>
      <c r="H244" t="inlineStr">
        <is>
          <t>N/A</t>
        </is>
      </c>
      <c r="I244" t="inlineStr">
        <is>
          <t>N/A</t>
        </is>
      </c>
      <c r="J244" t="inlineStr">
        <is>
          <t>N/A</t>
        </is>
      </c>
      <c r="K244" t="inlineStr">
        <is>
          <t>N/A</t>
        </is>
      </c>
      <c r="L244" t="inlineStr">
        <is>
          <t>N/A</t>
        </is>
      </c>
      <c r="M244" t="inlineStr">
        <is>
          <t>N/A</t>
        </is>
      </c>
      <c r="N244" t="inlineStr">
        <is>
          <t>N/A</t>
        </is>
      </c>
    </row>
    <row r="245">
      <c r="A245" t="inlineStr">
        <is>
          <t>U2b</t>
        </is>
      </c>
      <c r="B245" t="inlineStr">
        <is>
          <t>Hydrogen demand</t>
        </is>
      </c>
      <c r="C245" t="inlineStr">
        <is>
          <t>H_p</t>
        </is>
      </c>
      <c r="D245" t="n">
        <v>51523.67834242811</v>
      </c>
      <c r="E245" t="inlineStr">
        <is>
          <t>t-CO2/y</t>
        </is>
      </c>
      <c r="F245" t="inlineStr">
        <is>
          <t>already CO2</t>
        </is>
      </c>
      <c r="G245" t="inlineStr">
        <is>
          <t>t-CO2/y</t>
        </is>
      </c>
      <c r="H245" t="inlineStr">
        <is>
          <t>CAP</t>
        </is>
      </c>
      <c r="I245" t="inlineStr">
        <is>
          <t>H_p x s_cap x m_H2</t>
        </is>
      </c>
      <c r="J245" t="inlineStr">
        <is>
          <t>random</t>
        </is>
      </c>
      <c r="K245" t="inlineStr">
        <is>
          <t>m_H2 shared by all utilization pathways</t>
        </is>
      </c>
      <c r="L245" t="inlineStr">
        <is>
          <t>none</t>
        </is>
      </c>
      <c r="M245" t="inlineStr">
        <is>
          <t>+</t>
        </is>
      </c>
      <c r="N245" t="inlineStr">
        <is>
          <t>harmonised inventory</t>
        </is>
      </c>
    </row>
    <row r="246">
      <c r="A246" t="inlineStr">
        <is>
          <t>U2b</t>
        </is>
      </c>
      <c r="B246" t="inlineStr">
        <is>
          <t>Direct fossil-carbon emission</t>
        </is>
      </c>
      <c r="C246" t="inlineStr">
        <is>
          <t>F</t>
        </is>
      </c>
      <c r="D246" t="n">
        <v>26475.1872</v>
      </c>
      <c r="E246" t="inlineStr">
        <is>
          <t>t-CO2/y</t>
        </is>
      </c>
      <c r="F246" t="inlineStr">
        <is>
          <t>already CO2</t>
        </is>
      </c>
      <c r="G246" t="inlineStr">
        <is>
          <t>t-CO2/y</t>
        </is>
      </c>
      <c r="H246" t="inlineStr">
        <is>
          <t>CARBON</t>
        </is>
      </c>
      <c r="I246" t="inlineStr">
        <is>
          <t>enters phi; see the carbon-flow rows below</t>
        </is>
      </c>
      <c r="J246" t="inlineStr">
        <is>
          <t>random</t>
        </is>
      </c>
      <c r="K246" t="inlineStr">
        <is>
          <t>F shared by all pathways</t>
        </is>
      </c>
      <c r="L246" t="inlineStr">
        <is>
          <t>none</t>
        </is>
      </c>
      <c r="M246" t="inlineStr">
        <is>
          <t>+</t>
        </is>
      </c>
      <c r="N246" t="inlineStr">
        <is>
          <t>national waste survey</t>
        </is>
      </c>
    </row>
    <row r="247">
      <c r="A247" t="inlineStr">
        <is>
          <t>U2b</t>
        </is>
      </c>
      <c r="B247" t="inlineStr">
        <is>
          <t>Uncaptured fossil fraction</t>
        </is>
      </c>
      <c r="C247" t="inlineStr">
        <is>
          <t>(1-cr) F</t>
        </is>
      </c>
      <c r="D247" t="inlineStr">
        <is>
          <t>applies</t>
        </is>
      </c>
      <c r="E247" t="inlineStr">
        <is>
          <t>t-CO2/y</t>
        </is>
      </c>
      <c r="F247" t="inlineStr">
        <is>
          <t>already CO2</t>
        </is>
      </c>
      <c r="G247" t="inlineStr">
        <is>
          <t>t-CO2/y</t>
        </is>
      </c>
      <c r="H247" t="inlineStr">
        <is>
          <t>CARBON</t>
        </is>
      </c>
      <c r="I247" t="inlineStr">
        <is>
          <t>(1 - cr) x F, charged exactly once</t>
        </is>
      </c>
      <c r="J247" t="inlineStr">
        <is>
          <t>random through cr</t>
        </is>
      </c>
      <c r="K247" t="inlineStr">
        <is>
          <t>cr shared by capture pathways</t>
        </is>
      </c>
      <c r="L247" t="inlineStr">
        <is>
          <t>none</t>
        </is>
      </c>
      <c r="M247" t="inlineStr">
        <is>
          <t>+</t>
        </is>
      </c>
      <c r="N247" t="inlineStr">
        <is>
          <t>model</t>
        </is>
      </c>
    </row>
    <row r="248">
      <c r="A248" t="inlineStr">
        <is>
          <t>U2b</t>
        </is>
      </c>
      <c r="B248" t="inlineStr">
        <is>
          <t>Mineralization reactor loss</t>
        </is>
      </c>
      <c r="C248" t="inlineStr">
        <is>
          <t>N/A</t>
        </is>
      </c>
      <c r="D248" t="inlineStr">
        <is>
          <t>N/A</t>
        </is>
      </c>
      <c r="E248" t="inlineStr">
        <is>
          <t>N/A</t>
        </is>
      </c>
      <c r="F248" t="inlineStr">
        <is>
          <t>N/A</t>
        </is>
      </c>
      <c r="G248" t="inlineStr">
        <is>
          <t>N/A</t>
        </is>
      </c>
      <c r="H248" t="inlineStr">
        <is>
          <t>N/A</t>
        </is>
      </c>
      <c r="I248" t="inlineStr">
        <is>
          <t>N/A</t>
        </is>
      </c>
      <c r="J248" t="inlineStr">
        <is>
          <t>N/A</t>
        </is>
      </c>
      <c r="K248" t="inlineStr">
        <is>
          <t>N/A</t>
        </is>
      </c>
      <c r="L248" t="inlineStr">
        <is>
          <t>N/A</t>
        </is>
      </c>
      <c r="M248" t="inlineStr">
        <is>
          <t>N/A</t>
        </is>
      </c>
      <c r="N248" t="inlineStr">
        <is>
          <t>N/A</t>
        </is>
      </c>
    </row>
    <row r="249">
      <c r="A249" t="inlineStr">
        <is>
          <t>U2b</t>
        </is>
      </c>
      <c r="B249" t="inlineStr">
        <is>
          <t>CCU process vent</t>
        </is>
      </c>
      <c r="C249" t="inlineStr">
        <is>
          <t>V_p</t>
        </is>
      </c>
      <c r="D249" t="n">
        <v>4701.139958592001</v>
      </c>
      <c r="E249" t="inlineStr">
        <is>
          <t>t-CO2/y</t>
        </is>
      </c>
      <c r="F249" t="inlineStr">
        <is>
          <t>already CO2</t>
        </is>
      </c>
      <c r="G249" t="inlineStr">
        <is>
          <t>t-CO2/y</t>
        </is>
      </c>
      <c r="H249" t="inlineStr">
        <is>
          <t>CAP</t>
        </is>
      </c>
      <c r="I249" t="inlineStr">
        <is>
          <t>V_p x s_cap x f, inside phi (mixed-basis vent at its fossil share)</t>
        </is>
      </c>
      <c r="J249" t="inlineStr">
        <is>
          <t>random</t>
        </is>
      </c>
      <c r="K249" t="inlineStr">
        <is>
          <t>pathway-specific</t>
        </is>
      </c>
      <c r="L249" t="inlineStr">
        <is>
          <t>none</t>
        </is>
      </c>
      <c r="M249" t="inlineStr">
        <is>
          <t>+</t>
        </is>
      </c>
      <c r="N249" t="inlineStr">
        <is>
          <t>source workbook</t>
        </is>
      </c>
    </row>
    <row r="250">
      <c r="A250" t="inlineStr">
        <is>
          <t>U2b</t>
        </is>
      </c>
      <c r="B250" t="inlineStr">
        <is>
          <t>Product output</t>
        </is>
      </c>
      <c r="C250" t="inlineStr">
        <is>
          <t>derived</t>
        </is>
      </c>
      <c r="D250" t="inlineStr">
        <is>
          <t>proportional to captured CO2</t>
        </is>
      </c>
      <c r="E250" t="inlineStr">
        <is>
          <t>t-CO2/y</t>
        </is>
      </c>
      <c r="F250" t="inlineStr">
        <is>
          <t>stoichiometric</t>
        </is>
      </c>
      <c r="G250" t="inlineStr">
        <is>
          <t>t-CO2/y</t>
        </is>
      </c>
      <c r="H250" t="inlineStr">
        <is>
          <t>CAP</t>
        </is>
      </c>
      <c r="I250" t="inlineStr">
        <is>
          <t>proportional to cr x T; enters through QA and QB</t>
        </is>
      </c>
      <c r="J250" t="inlineStr">
        <is>
          <t>random</t>
        </is>
      </c>
      <c r="K250" t="inlineStr">
        <is>
          <t>pathway-specific</t>
        </is>
      </c>
      <c r="L250" t="inlineStr">
        <is>
          <t>none</t>
        </is>
      </c>
      <c r="M250" t="inlineStr">
        <is>
          <t>n/a</t>
        </is>
      </c>
      <c r="N250" t="inlineStr">
        <is>
          <t>harmonised inventory</t>
        </is>
      </c>
    </row>
    <row r="251">
      <c r="A251" t="inlineStr">
        <is>
          <t>U2b</t>
        </is>
      </c>
      <c r="B251" t="inlineStr">
        <is>
          <t>Displaced-product burden (cradle-to-grave)</t>
        </is>
      </c>
      <c r="C251" t="inlineStr">
        <is>
          <t>QA_p</t>
        </is>
      </c>
      <c r="D251" t="n">
        <v>82711.34059137794</v>
      </c>
      <c r="E251" t="inlineStr">
        <is>
          <t>t-CO2/y</t>
        </is>
      </c>
      <c r="F251" t="inlineStr">
        <is>
          <t>already CO2</t>
        </is>
      </c>
      <c r="G251" t="inlineStr">
        <is>
          <t>t-CO2/y</t>
        </is>
      </c>
      <c r="H251" t="inlineStr">
        <is>
          <t>CAP</t>
        </is>
      </c>
      <c r="I251" t="inlineStr">
        <is>
          <t>minus QA x s_cap, INSIDE phi</t>
        </is>
      </c>
      <c r="J251" t="inlineStr">
        <is>
          <t>random</t>
        </is>
      </c>
      <c r="K251" t="inlineStr">
        <is>
          <t>pathway-specific</t>
        </is>
      </c>
      <c r="L251" t="inlineStr">
        <is>
          <t>none</t>
        </is>
      </c>
      <c r="M251" t="inlineStr">
        <is>
          <t>-</t>
        </is>
      </c>
      <c r="N251" t="inlineStr">
        <is>
          <t>CFP database factors x product mass</t>
        </is>
      </c>
    </row>
    <row r="252">
      <c r="A252" t="inlineStr">
        <is>
          <t>U2b</t>
        </is>
      </c>
      <c r="B252" t="inlineStr">
        <is>
          <t>Product fossil-combustion charge</t>
        </is>
      </c>
      <c r="C252" t="inlineStr">
        <is>
          <t>QB_p</t>
        </is>
      </c>
      <c r="D252" t="n">
        <v>12802.44857305733</v>
      </c>
      <c r="E252" t="inlineStr">
        <is>
          <t>t-CO2/y</t>
        </is>
      </c>
      <c r="F252" t="inlineStr">
        <is>
          <t>already CO2</t>
        </is>
      </c>
      <c r="G252" t="inlineStr">
        <is>
          <t>t-CO2/y</t>
        </is>
      </c>
      <c r="H252" t="inlineStr">
        <is>
          <t>CAP</t>
        </is>
      </c>
      <c r="I252" t="inlineStr">
        <is>
          <t>plus f x QB x s_cap, INSIDE phi; the net credit is (QA - f QB) x s_cap</t>
        </is>
      </c>
      <c r="J252" t="inlineStr">
        <is>
          <t>random</t>
        </is>
      </c>
      <c r="K252" t="inlineStr">
        <is>
          <t>pathway-specific</t>
        </is>
      </c>
      <c r="L252" t="inlineStr">
        <is>
          <t>none</t>
        </is>
      </c>
      <c r="M252" t="inlineStr">
        <is>
          <t>+</t>
        </is>
      </c>
      <c r="N252" t="inlineStr">
        <is>
          <t>stoichiometric combustion of the synthesised product</t>
        </is>
      </c>
    </row>
    <row r="253">
      <c r="A253" t="inlineStr">
        <is>
          <t>U2b</t>
        </is>
      </c>
      <c r="B253" t="inlineStr">
        <is>
          <t>Diverted plastic carbon</t>
        </is>
      </c>
      <c r="C253" t="inlineStr">
        <is>
          <t>N/A</t>
        </is>
      </c>
      <c r="D253" t="inlineStr">
        <is>
          <t>N/A</t>
        </is>
      </c>
      <c r="E253" t="inlineStr">
        <is>
          <t>N/A</t>
        </is>
      </c>
      <c r="F253" t="inlineStr">
        <is>
          <t>N/A</t>
        </is>
      </c>
      <c r="G253" t="inlineStr">
        <is>
          <t>N/A</t>
        </is>
      </c>
      <c r="H253" t="inlineStr">
        <is>
          <t>N/A</t>
        </is>
      </c>
      <c r="I253" t="inlineStr">
        <is>
          <t>N/A</t>
        </is>
      </c>
      <c r="J253" t="inlineStr">
        <is>
          <t>N/A</t>
        </is>
      </c>
      <c r="K253" t="inlineStr">
        <is>
          <t>N/A</t>
        </is>
      </c>
      <c r="L253" t="inlineStr">
        <is>
          <t>N/A</t>
        </is>
      </c>
      <c r="M253" t="inlineStr">
        <is>
          <t>N/A</t>
        </is>
      </c>
      <c r="N253" t="inlineStr">
        <is>
          <t>N/A</t>
        </is>
      </c>
    </row>
    <row r="254">
      <c r="A254" t="inlineStr">
        <is>
          <t>U2b</t>
        </is>
      </c>
      <c r="B254" t="inlineStr">
        <is>
          <t>Permanent geological storage</t>
        </is>
      </c>
      <c r="C254" t="inlineStr">
        <is>
          <t>N/A</t>
        </is>
      </c>
      <c r="D254" t="inlineStr">
        <is>
          <t>N/A</t>
        </is>
      </c>
      <c r="E254" t="inlineStr">
        <is>
          <t>N/A</t>
        </is>
      </c>
      <c r="F254" t="inlineStr">
        <is>
          <t>N/A</t>
        </is>
      </c>
      <c r="G254" t="inlineStr">
        <is>
          <t>N/A</t>
        </is>
      </c>
      <c r="H254" t="inlineStr">
        <is>
          <t>N/A</t>
        </is>
      </c>
      <c r="I254" t="inlineStr">
        <is>
          <t>N/A</t>
        </is>
      </c>
      <c r="J254" t="inlineStr">
        <is>
          <t>N/A</t>
        </is>
      </c>
      <c r="K254" t="inlineStr">
        <is>
          <t>N/A</t>
        </is>
      </c>
      <c r="L254" t="inlineStr">
        <is>
          <t>N/A</t>
        </is>
      </c>
      <c r="M254" t="inlineStr">
        <is>
          <t>N/A</t>
        </is>
      </c>
      <c r="N254" t="inlineStr">
        <is>
          <t>N/A</t>
        </is>
      </c>
    </row>
    <row r="255">
      <c r="A255" t="inlineStr">
        <is>
          <t>U2b</t>
        </is>
      </c>
      <c r="B255" t="inlineStr">
        <is>
          <t>Temporary product storage</t>
        </is>
      </c>
      <c r="C255" t="inlineStr">
        <is>
          <t>tau_50, k</t>
        </is>
      </c>
      <c r="D255" t="inlineStr">
        <is>
          <t>applies</t>
        </is>
      </c>
      <c r="E255" t="inlineStr">
        <is>
          <t>y</t>
        </is>
      </c>
      <c r="F255" t="inlineStr">
        <is>
          <t>Weibull</t>
        </is>
      </c>
      <c r="G255" t="inlineStr">
        <is>
          <t>t-CO2/y</t>
        </is>
      </c>
      <c r="H255" t="inlineStr">
        <is>
          <t>not included</t>
        </is>
      </c>
      <c r="I255" t="inlineStr">
        <is>
          <t>enters the dynamic climate layer only; the static balance is time-independent</t>
        </is>
      </c>
      <c r="J255" t="inlineStr">
        <is>
          <t>deterministic</t>
        </is>
      </c>
      <c r="K255" t="inlineStr">
        <is>
          <t>pathway-specific</t>
        </is>
      </c>
      <c r="L255" t="inlineStr">
        <is>
          <t>none</t>
        </is>
      </c>
      <c r="M255" t="inlineStr">
        <is>
          <t>n/a</t>
        </is>
      </c>
      <c r="N255" t="inlineStr">
        <is>
          <t>Table 1 (main text)</t>
        </is>
      </c>
    </row>
    <row r="256">
      <c r="A256" t="inlineStr">
        <is>
          <t>U2b</t>
        </is>
      </c>
      <c r="B256" t="inlineStr">
        <is>
          <t>Final atmospheric release</t>
        </is>
      </c>
      <c r="C256" t="inlineStr">
        <is>
          <t>E_product,f</t>
        </is>
      </c>
      <c r="D256" t="inlineStr">
        <is>
          <t>applies</t>
        </is>
      </c>
      <c r="E256" t="inlineStr">
        <is>
          <t>t-CO2/y</t>
        </is>
      </c>
      <c r="F256" t="inlineStr">
        <is>
          <t>already CO2</t>
        </is>
      </c>
      <c r="G256" t="inlineStr">
        <is>
          <t>t-CO2/y</t>
        </is>
      </c>
      <c r="H256" t="inlineStr">
        <is>
          <t>CARBON</t>
        </is>
      </c>
      <c r="I256" t="inlineStr">
        <is>
          <t>accounted through the QB charge (utilization) or D_p (recycling); the deferred release of U2b enters the dynamic layer</t>
        </is>
      </c>
      <c r="J256" t="inlineStr">
        <is>
          <t>random</t>
        </is>
      </c>
      <c r="K256" t="inlineStr">
        <is>
          <t>pathway-specific</t>
        </is>
      </c>
      <c r="L256" t="inlineStr">
        <is>
          <t>A/B for recycling</t>
        </is>
      </c>
      <c r="M256" t="inlineStr">
        <is>
          <t>+</t>
        </is>
      </c>
      <c r="N256" t="inlineStr">
        <is>
          <t>model</t>
        </is>
      </c>
    </row>
    <row r="257">
      <c r="A257" t="inlineStr">
        <is>
          <t>U2b</t>
        </is>
      </c>
      <c r="B257" t="inlineStr">
        <is>
          <t>Capture solvent burden (R1 explicit)</t>
        </is>
      </c>
      <c r="C257" t="inlineStr">
        <is>
          <t>R_p</t>
        </is>
      </c>
      <c r="D257" t="n">
        <v>1057.227651280685</v>
      </c>
      <c r="E257" t="inlineStr">
        <is>
          <t>t-CO2/y</t>
        </is>
      </c>
      <c r="F257" t="inlineStr">
        <is>
          <t>already CO2</t>
        </is>
      </c>
      <c r="G257" t="inlineStr">
        <is>
          <t>t-CO2/y</t>
        </is>
      </c>
      <c r="H257" t="inlineStr">
        <is>
          <t>CAP</t>
        </is>
      </c>
      <c r="I257" t="inlineStr">
        <is>
          <t>R_p x s_cap x m_reag</t>
        </is>
      </c>
      <c r="J257" t="inlineStr">
        <is>
          <t>random through m_reag</t>
        </is>
      </c>
      <c r="K257" t="inlineStr">
        <is>
          <t>m_reag shared by all capture pathways</t>
        </is>
      </c>
      <c r="L257" t="inlineStr">
        <is>
          <t>none</t>
        </is>
      </c>
      <c r="M257" t="inlineStr">
        <is>
          <t>+</t>
        </is>
      </c>
      <c r="N257" t="inlineStr">
        <is>
          <t>Bisinella et al. 2021, Table 4: 12 kg CO2-eq per t ww</t>
        </is>
      </c>
    </row>
    <row r="258">
      <c r="A258" t="inlineStr">
        <is>
          <t>U2b</t>
        </is>
      </c>
      <c r="B258" t="inlineStr">
        <is>
          <t>Transport (R1 explicit: CO2 to storage / ore / slag / CO2 to synthesis)</t>
        </is>
      </c>
      <c r="C258" t="inlineStr">
        <is>
          <t>Tr_p</t>
        </is>
      </c>
      <c r="D258" t="n">
        <v>449.9662531795201</v>
      </c>
      <c r="E258" t="inlineStr">
        <is>
          <t>t-CO2/y</t>
        </is>
      </c>
      <c r="F258" t="inlineStr">
        <is>
          <t>already CO2</t>
        </is>
      </c>
      <c r="G258" t="inlineStr">
        <is>
          <t>t-CO2/y</t>
        </is>
      </c>
      <c r="H258" t="inlineStr">
        <is>
          <t>CAP</t>
        </is>
      </c>
      <c r="I258" t="inlineStr">
        <is>
          <t>Tr_p x s_cap x m_trans</t>
        </is>
      </c>
      <c r="J258" t="inlineStr">
        <is>
          <t>random through m_trans</t>
        </is>
      </c>
      <c r="K258" t="inlineStr">
        <is>
          <t>m_trans shared within capture family</t>
        </is>
      </c>
      <c r="L258" t="inlineStr">
        <is>
          <t>none</t>
        </is>
      </c>
      <c r="M258" t="inlineStr">
        <is>
          <t>+</t>
        </is>
      </c>
      <c r="N258" t="inlineStr">
        <is>
          <t>G: Bisinella et al. 2021 Section 2.4; M: source workbook t-km; U: source workbook</t>
        </is>
      </c>
    </row>
    <row r="259">
      <c r="A259" t="inlineStr">
        <is>
          <t>U2b</t>
        </is>
      </c>
      <c r="B259" t="inlineStr">
        <is>
          <t>Product transport</t>
        </is>
      </c>
      <c r="C259" t="inlineStr">
        <is>
          <t>N/A</t>
        </is>
      </c>
      <c r="D259" t="inlineStr">
        <is>
          <t>N/A</t>
        </is>
      </c>
      <c r="E259" t="inlineStr">
        <is>
          <t>N/A</t>
        </is>
      </c>
      <c r="F259" t="inlineStr">
        <is>
          <t>N/A</t>
        </is>
      </c>
      <c r="G259" t="inlineStr">
        <is>
          <t>N/A</t>
        </is>
      </c>
      <c r="H259" t="inlineStr">
        <is>
          <t>N/A</t>
        </is>
      </c>
      <c r="I259" t="inlineStr">
        <is>
          <t>N/A</t>
        </is>
      </c>
      <c r="J259" t="inlineStr">
        <is>
          <t>N/A</t>
        </is>
      </c>
      <c r="K259" t="inlineStr">
        <is>
          <t>N/A</t>
        </is>
      </c>
      <c r="L259" t="inlineStr">
        <is>
          <t>N/A</t>
        </is>
      </c>
      <c r="M259" t="inlineStr">
        <is>
          <t>N/A</t>
        </is>
      </c>
      <c r="N259" t="inlineStr">
        <is>
          <t>N/A</t>
        </is>
      </c>
    </row>
    <row r="260">
      <c r="A260" t="inlineStr">
        <is>
          <t>U2b</t>
        </is>
      </c>
      <c r="B260" t="inlineStr">
        <is>
          <t>Capital-related burdens</t>
        </is>
      </c>
      <c r="C260" t="inlineStr">
        <is>
          <t>C_cap</t>
        </is>
      </c>
      <c r="D260" t="inlineStr">
        <is>
          <t>inside residual</t>
        </is>
      </c>
      <c r="E260" t="inlineStr">
        <is>
          <t>t-CO2/y</t>
        </is>
      </c>
      <c r="F260" t="inlineStr">
        <is>
          <t>annualised</t>
        </is>
      </c>
      <c r="G260" t="inlineStr">
        <is>
          <t>t-CO2/y</t>
        </is>
      </c>
      <c r="H260" t="inlineStr">
        <is>
          <t>RESIDUAL</t>
        </is>
      </c>
      <c r="I260" t="inlineStr">
        <is>
          <t>annualised, held at its national value, x m_rem</t>
        </is>
      </c>
      <c r="J260" t="inlineStr">
        <is>
          <t>random through m_rem</t>
        </is>
      </c>
      <c r="K260" t="inlineStr">
        <is>
          <t>pathway-specific</t>
        </is>
      </c>
      <c r="L260" t="inlineStr">
        <is>
          <t>none</t>
        </is>
      </c>
      <c r="M260" t="inlineStr">
        <is>
          <t>+</t>
        </is>
      </c>
      <c r="N260" t="inlineStr">
        <is>
          <t>calibrated remainder</t>
        </is>
      </c>
    </row>
    <row r="261">
      <c r="A261" t="inlineStr">
        <is>
          <t>U2b</t>
        </is>
      </c>
      <c r="B261" t="inlineStr">
        <is>
          <t>Calibrated residual, total</t>
        </is>
      </c>
      <c r="C261" t="inlineStr">
        <is>
          <t>C_p</t>
        </is>
      </c>
      <c r="D261" t="n">
        <v>980.1</v>
      </c>
      <c r="E261" t="inlineStr">
        <is>
          <t>t-CO2/y</t>
        </is>
      </c>
      <c r="F261" t="inlineStr">
        <is>
          <t>already CO2</t>
        </is>
      </c>
      <c r="G261" t="inlineStr">
        <is>
          <t>t-CO2/y</t>
        </is>
      </c>
      <c r="H261" t="inlineStr">
        <is>
          <t>RESIDUAL</t>
        </is>
      </c>
      <c r="I261" t="inlineStr">
        <is>
          <t>C_p x m_rem</t>
        </is>
      </c>
      <c r="J261" t="inlineStr">
        <is>
          <t>random through m_rem</t>
        </is>
      </c>
      <c r="K261" t="inlineStr">
        <is>
          <t>pathway-specific</t>
        </is>
      </c>
      <c r="L261" t="inlineStr">
        <is>
          <t>shifts with the anchor under B</t>
        </is>
      </c>
      <c r="M261" t="inlineStr">
        <is>
          <t>+/-</t>
        </is>
      </c>
      <c r="N261" t="inlineStr">
        <is>
          <t>verified national value minus the explicit groups</t>
        </is>
      </c>
    </row>
    <row r="262">
      <c r="A262" t="inlineStr">
        <is>
          <t>R1</t>
        </is>
      </c>
      <c r="B262" t="inlineStr">
        <is>
          <t>Plant auxiliary electricity</t>
        </is>
      </c>
      <c r="C262" t="inlineStr">
        <is>
          <t>E_aux</t>
        </is>
      </c>
      <c r="D262" t="n">
        <v>24360</v>
      </c>
      <c r="E262" t="inlineStr">
        <is>
          <t>MWh/y</t>
        </is>
      </c>
      <c r="F262" t="inlineStr">
        <is>
          <t>EF</t>
        </is>
      </c>
      <c r="G262" t="inlineStr">
        <is>
          <t>t-CO2/y</t>
        </is>
      </c>
      <c r="H262" t="inlineStr">
        <is>
          <t>FIXED</t>
        </is>
      </c>
      <c r="I262" t="inlineStr">
        <is>
          <t>E_aux x EF</t>
        </is>
      </c>
      <c r="J262" t="inlineStr">
        <is>
          <t>random through EF</t>
        </is>
      </c>
      <c r="K262" t="inlineStr">
        <is>
          <t>EF shared by all pathways</t>
        </is>
      </c>
      <c r="L262" t="inlineStr">
        <is>
          <t>none</t>
        </is>
      </c>
      <c r="M262" t="inlineStr">
        <is>
          <t>+</t>
        </is>
      </c>
      <c r="N262" t="inlineStr">
        <is>
          <t>harmonised inventory</t>
        </is>
      </c>
    </row>
    <row r="263">
      <c r="A263" t="inlineStr">
        <is>
          <t>R1</t>
        </is>
      </c>
      <c r="B263" t="inlineStr">
        <is>
          <t>Baseline electricity export</t>
        </is>
      </c>
      <c r="C263" t="inlineStr">
        <is>
          <t>E_exp_base</t>
        </is>
      </c>
      <c r="D263" t="n">
        <v>-43207</v>
      </c>
      <c r="E263" t="inlineStr">
        <is>
          <t>MWh/y</t>
        </is>
      </c>
      <c r="F263" t="inlineStr">
        <is>
          <t>EF</t>
        </is>
      </c>
      <c r="G263" t="inlineStr">
        <is>
          <t>t-CO2/y</t>
        </is>
      </c>
      <c r="H263" t="inlineStr">
        <is>
          <t>FIXED</t>
        </is>
      </c>
      <c r="I263" t="inlineStr">
        <is>
          <t>minus E_exp_base x EF</t>
        </is>
      </c>
      <c r="J263" t="inlineStr">
        <is>
          <t>random through EF</t>
        </is>
      </c>
      <c r="K263" t="inlineStr">
        <is>
          <t>EF shared by all pathways</t>
        </is>
      </c>
      <c r="L263" t="inlineStr">
        <is>
          <t>none</t>
        </is>
      </c>
      <c r="M263" t="inlineStr">
        <is>
          <t>-</t>
        </is>
      </c>
      <c r="N263" t="inlineStr">
        <is>
          <t>harmonised inventory</t>
        </is>
      </c>
    </row>
    <row r="264">
      <c r="A264" t="inlineStr">
        <is>
          <t>R1</t>
        </is>
      </c>
      <c r="B264" t="inlineStr">
        <is>
          <t>Steam generation burden</t>
        </is>
      </c>
      <c r="C264" t="inlineStr">
        <is>
          <t>n/a</t>
        </is>
      </c>
      <c r="D264" t="inlineStr">
        <is>
          <t>not separate</t>
        </is>
      </c>
      <c r="E264" t="inlineStr">
        <is>
          <t>MWh/y</t>
        </is>
      </c>
      <c r="F264" t="inlineStr">
        <is>
          <t>n/a</t>
        </is>
      </c>
      <c r="G264" t="inlineStr">
        <is>
          <t>t-CO2/y</t>
        </is>
      </c>
      <c r="H264" t="inlineStr">
        <is>
          <t>FIXED</t>
        </is>
      </c>
      <c r="I264" t="inlineStr">
        <is>
          <t>inside E_exp_base; same waste tonnage in every region</t>
        </is>
      </c>
      <c r="J264" t="inlineStr">
        <is>
          <t>deterministic</t>
        </is>
      </c>
      <c r="K264" t="inlineStr">
        <is>
          <t>shared by all pathways</t>
        </is>
      </c>
      <c r="L264" t="inlineStr">
        <is>
          <t>none</t>
        </is>
      </c>
      <c r="M264" t="inlineStr">
        <is>
          <t>n/a</t>
        </is>
      </c>
      <c r="N264" t="inlineStr">
        <is>
          <t>harmonised inventory</t>
        </is>
      </c>
    </row>
    <row r="265">
      <c r="A265" t="inlineStr">
        <is>
          <t>R1</t>
        </is>
      </c>
      <c r="B265" t="inlineStr">
        <is>
          <t>Steam-extraction export penalty</t>
        </is>
      </c>
      <c r="C265" t="inlineStr">
        <is>
          <t>N/A</t>
        </is>
      </c>
      <c r="D265" t="inlineStr">
        <is>
          <t>N/A</t>
        </is>
      </c>
      <c r="E265" t="inlineStr">
        <is>
          <t>N/A</t>
        </is>
      </c>
      <c r="F265" t="inlineStr">
        <is>
          <t>N/A</t>
        </is>
      </c>
      <c r="G265" t="inlineStr">
        <is>
          <t>N/A</t>
        </is>
      </c>
      <c r="H265" t="inlineStr">
        <is>
          <t>N/A</t>
        </is>
      </c>
      <c r="I265" t="inlineStr">
        <is>
          <t>N/A</t>
        </is>
      </c>
      <c r="J265" t="inlineStr">
        <is>
          <t>N/A</t>
        </is>
      </c>
      <c r="K265" t="inlineStr">
        <is>
          <t>N/A</t>
        </is>
      </c>
      <c r="L265" t="inlineStr">
        <is>
          <t>N/A</t>
        </is>
      </c>
      <c r="M265" t="inlineStr">
        <is>
          <t>N/A</t>
        </is>
      </c>
      <c r="N265" t="inlineStr">
        <is>
          <t>N/A</t>
        </is>
      </c>
    </row>
    <row r="266">
      <c r="A266" t="inlineStr">
        <is>
          <t>R1</t>
        </is>
      </c>
      <c r="B266" t="inlineStr">
        <is>
          <t>Capture electricity</t>
        </is>
      </c>
      <c r="C266" t="inlineStr">
        <is>
          <t>N/A</t>
        </is>
      </c>
      <c r="D266" t="inlineStr">
        <is>
          <t>N/A</t>
        </is>
      </c>
      <c r="E266" t="inlineStr">
        <is>
          <t>N/A</t>
        </is>
      </c>
      <c r="F266" t="inlineStr">
        <is>
          <t>N/A</t>
        </is>
      </c>
      <c r="G266" t="inlineStr">
        <is>
          <t>N/A</t>
        </is>
      </c>
      <c r="H266" t="inlineStr">
        <is>
          <t>N/A</t>
        </is>
      </c>
      <c r="I266" t="inlineStr">
        <is>
          <t>N/A</t>
        </is>
      </c>
      <c r="J266" t="inlineStr">
        <is>
          <t>N/A</t>
        </is>
      </c>
      <c r="K266" t="inlineStr">
        <is>
          <t>N/A</t>
        </is>
      </c>
      <c r="L266" t="inlineStr">
        <is>
          <t>N/A</t>
        </is>
      </c>
      <c r="M266" t="inlineStr">
        <is>
          <t>N/A</t>
        </is>
      </c>
      <c r="N266" t="inlineStr">
        <is>
          <t>N/A</t>
        </is>
      </c>
    </row>
    <row r="267">
      <c r="A267" t="inlineStr">
        <is>
          <t>R1</t>
        </is>
      </c>
      <c r="B267" t="inlineStr">
        <is>
          <t>CO2 compression electricity</t>
        </is>
      </c>
      <c r="C267" t="inlineStr">
        <is>
          <t>N/A</t>
        </is>
      </c>
      <c r="D267" t="inlineStr">
        <is>
          <t>N/A</t>
        </is>
      </c>
      <c r="E267" t="inlineStr">
        <is>
          <t>N/A</t>
        </is>
      </c>
      <c r="F267" t="inlineStr">
        <is>
          <t>N/A</t>
        </is>
      </c>
      <c r="G267" t="inlineStr">
        <is>
          <t>N/A</t>
        </is>
      </c>
      <c r="H267" t="inlineStr">
        <is>
          <t>N/A</t>
        </is>
      </c>
      <c r="I267" t="inlineStr">
        <is>
          <t>N/A</t>
        </is>
      </c>
      <c r="J267" t="inlineStr">
        <is>
          <t>N/A</t>
        </is>
      </c>
      <c r="K267" t="inlineStr">
        <is>
          <t>N/A</t>
        </is>
      </c>
      <c r="L267" t="inlineStr">
        <is>
          <t>N/A</t>
        </is>
      </c>
      <c r="M267" t="inlineStr">
        <is>
          <t>N/A</t>
        </is>
      </c>
      <c r="N267" t="inlineStr">
        <is>
          <t>N/A</t>
        </is>
      </c>
    </row>
    <row r="268">
      <c r="A268" t="inlineStr">
        <is>
          <t>R1</t>
        </is>
      </c>
      <c r="B268" t="inlineStr">
        <is>
          <t>Conversion electricity</t>
        </is>
      </c>
      <c r="C268" t="inlineStr">
        <is>
          <t>N/A</t>
        </is>
      </c>
      <c r="D268" t="inlineStr">
        <is>
          <t>N/A</t>
        </is>
      </c>
      <c r="E268" t="inlineStr">
        <is>
          <t>N/A</t>
        </is>
      </c>
      <c r="F268" t="inlineStr">
        <is>
          <t>N/A</t>
        </is>
      </c>
      <c r="G268" t="inlineStr">
        <is>
          <t>N/A</t>
        </is>
      </c>
      <c r="H268" t="inlineStr">
        <is>
          <t>N/A</t>
        </is>
      </c>
      <c r="I268" t="inlineStr">
        <is>
          <t>N/A</t>
        </is>
      </c>
      <c r="J268" t="inlineStr">
        <is>
          <t>N/A</t>
        </is>
      </c>
      <c r="K268" t="inlineStr">
        <is>
          <t>N/A</t>
        </is>
      </c>
      <c r="L268" t="inlineStr">
        <is>
          <t>N/A</t>
        </is>
      </c>
      <c r="M268" t="inlineStr">
        <is>
          <t>N/A</t>
        </is>
      </c>
      <c r="N268" t="inlineStr">
        <is>
          <t>N/A</t>
        </is>
      </c>
    </row>
    <row r="269">
      <c r="A269" t="inlineStr">
        <is>
          <t>R1</t>
        </is>
      </c>
      <c r="B269" t="inlineStr">
        <is>
          <t>Total capture, compression and conversion electricity</t>
        </is>
      </c>
      <c r="C269" t="inlineStr">
        <is>
          <t>N/A</t>
        </is>
      </c>
      <c r="D269" t="inlineStr">
        <is>
          <t>N/A</t>
        </is>
      </c>
      <c r="E269" t="inlineStr">
        <is>
          <t>N/A</t>
        </is>
      </c>
      <c r="F269" t="inlineStr">
        <is>
          <t>N/A</t>
        </is>
      </c>
      <c r="G269" t="inlineStr">
        <is>
          <t>N/A</t>
        </is>
      </c>
      <c r="H269" t="inlineStr">
        <is>
          <t>N/A</t>
        </is>
      </c>
      <c r="I269" t="inlineStr">
        <is>
          <t>N/A</t>
        </is>
      </c>
      <c r="J269" t="inlineStr">
        <is>
          <t>N/A</t>
        </is>
      </c>
      <c r="K269" t="inlineStr">
        <is>
          <t>N/A</t>
        </is>
      </c>
      <c r="L269" t="inlineStr">
        <is>
          <t>N/A</t>
        </is>
      </c>
      <c r="M269" t="inlineStr">
        <is>
          <t>N/A</t>
        </is>
      </c>
      <c r="N269" t="inlineStr">
        <is>
          <t>N/A</t>
        </is>
      </c>
    </row>
    <row r="270">
      <c r="A270" t="inlineStr">
        <is>
          <t>R1</t>
        </is>
      </c>
      <c r="B270" t="inlineStr">
        <is>
          <t>Pyrolysis electricity</t>
        </is>
      </c>
      <c r="C270" t="inlineStr">
        <is>
          <t>E_proc</t>
        </is>
      </c>
      <c r="D270" t="n">
        <v>357</v>
      </c>
      <c r="E270" t="inlineStr">
        <is>
          <t>MWh/y</t>
        </is>
      </c>
      <c r="F270" t="inlineStr">
        <is>
          <t>EF</t>
        </is>
      </c>
      <c r="G270" t="inlineStr">
        <is>
          <t>t-CO2/y</t>
        </is>
      </c>
      <c r="H270" t="inlineStr">
        <is>
          <t>PLASTIC</t>
        </is>
      </c>
      <c r="I270" t="inlineStr">
        <is>
          <t>E_proc x s_F x EF x m_el</t>
        </is>
      </c>
      <c r="J270" t="inlineStr">
        <is>
          <t>random</t>
        </is>
      </c>
      <c r="K270" t="inlineStr">
        <is>
          <t>m_el shared within family</t>
        </is>
      </c>
      <c r="L270" t="inlineStr">
        <is>
          <t>none</t>
        </is>
      </c>
      <c r="M270" t="inlineStr">
        <is>
          <t>+</t>
        </is>
      </c>
      <c r="N270" t="inlineStr">
        <is>
          <t>harmonised inventory</t>
        </is>
      </c>
    </row>
    <row r="271">
      <c r="A271" t="inlineStr">
        <is>
          <t>R1</t>
        </is>
      </c>
      <c r="B271" t="inlineStr">
        <is>
          <t>Hydrogen demand</t>
        </is>
      </c>
      <c r="C271" t="inlineStr">
        <is>
          <t>N/A</t>
        </is>
      </c>
      <c r="D271" t="inlineStr">
        <is>
          <t>N/A</t>
        </is>
      </c>
      <c r="E271" t="inlineStr">
        <is>
          <t>N/A</t>
        </is>
      </c>
      <c r="F271" t="inlineStr">
        <is>
          <t>N/A</t>
        </is>
      </c>
      <c r="G271" t="inlineStr">
        <is>
          <t>N/A</t>
        </is>
      </c>
      <c r="H271" t="inlineStr">
        <is>
          <t>N/A</t>
        </is>
      </c>
      <c r="I271" t="inlineStr">
        <is>
          <t>N/A</t>
        </is>
      </c>
      <c r="J271" t="inlineStr">
        <is>
          <t>N/A</t>
        </is>
      </c>
      <c r="K271" t="inlineStr">
        <is>
          <t>N/A</t>
        </is>
      </c>
      <c r="L271" t="inlineStr">
        <is>
          <t>N/A</t>
        </is>
      </c>
      <c r="M271" t="inlineStr">
        <is>
          <t>N/A</t>
        </is>
      </c>
      <c r="N271" t="inlineStr">
        <is>
          <t>N/A</t>
        </is>
      </c>
    </row>
    <row r="272">
      <c r="A272" t="inlineStr">
        <is>
          <t>R1</t>
        </is>
      </c>
      <c r="B272" t="inlineStr">
        <is>
          <t>Direct fossil-carbon emission</t>
        </is>
      </c>
      <c r="C272" t="inlineStr">
        <is>
          <t>F</t>
        </is>
      </c>
      <c r="D272" t="n">
        <v>26475.1872</v>
      </c>
      <c r="E272" t="inlineStr">
        <is>
          <t>t-CO2/y</t>
        </is>
      </c>
      <c r="F272" t="inlineStr">
        <is>
          <t>already CO2</t>
        </is>
      </c>
      <c r="G272" t="inlineStr">
        <is>
          <t>t-CO2/y</t>
        </is>
      </c>
      <c r="H272" t="inlineStr">
        <is>
          <t>CARBON</t>
        </is>
      </c>
      <c r="I272" t="inlineStr">
        <is>
          <t>enters phi; see the carbon-flow rows below</t>
        </is>
      </c>
      <c r="J272" t="inlineStr">
        <is>
          <t>random</t>
        </is>
      </c>
      <c r="K272" t="inlineStr">
        <is>
          <t>F shared by all pathways</t>
        </is>
      </c>
      <c r="L272" t="inlineStr">
        <is>
          <t>none</t>
        </is>
      </c>
      <c r="M272" t="inlineStr">
        <is>
          <t>+</t>
        </is>
      </c>
      <c r="N272" t="inlineStr">
        <is>
          <t>national waste survey</t>
        </is>
      </c>
    </row>
    <row r="273">
      <c r="A273" t="inlineStr">
        <is>
          <t>R1</t>
        </is>
      </c>
      <c r="B273" t="inlineStr">
        <is>
          <t>Uncaptured fossil fraction</t>
        </is>
      </c>
      <c r="C273" t="inlineStr">
        <is>
          <t>N/A</t>
        </is>
      </c>
      <c r="D273" t="inlineStr">
        <is>
          <t>N/A</t>
        </is>
      </c>
      <c r="E273" t="inlineStr">
        <is>
          <t>N/A</t>
        </is>
      </c>
      <c r="F273" t="inlineStr">
        <is>
          <t>N/A</t>
        </is>
      </c>
      <c r="G273" t="inlineStr">
        <is>
          <t>N/A</t>
        </is>
      </c>
      <c r="H273" t="inlineStr">
        <is>
          <t>N/A</t>
        </is>
      </c>
      <c r="I273" t="inlineStr">
        <is>
          <t>N/A</t>
        </is>
      </c>
      <c r="J273" t="inlineStr">
        <is>
          <t>N/A</t>
        </is>
      </c>
      <c r="K273" t="inlineStr">
        <is>
          <t>N/A</t>
        </is>
      </c>
      <c r="L273" t="inlineStr">
        <is>
          <t>N/A</t>
        </is>
      </c>
      <c r="M273" t="inlineStr">
        <is>
          <t>N/A</t>
        </is>
      </c>
      <c r="N273" t="inlineStr">
        <is>
          <t>N/A</t>
        </is>
      </c>
    </row>
    <row r="274">
      <c r="A274" t="inlineStr">
        <is>
          <t>R1</t>
        </is>
      </c>
      <c r="B274" t="inlineStr">
        <is>
          <t>Mineralization reactor loss</t>
        </is>
      </c>
      <c r="C274" t="inlineStr">
        <is>
          <t>N/A</t>
        </is>
      </c>
      <c r="D274" t="inlineStr">
        <is>
          <t>N/A</t>
        </is>
      </c>
      <c r="E274" t="inlineStr">
        <is>
          <t>N/A</t>
        </is>
      </c>
      <c r="F274" t="inlineStr">
        <is>
          <t>N/A</t>
        </is>
      </c>
      <c r="G274" t="inlineStr">
        <is>
          <t>N/A</t>
        </is>
      </c>
      <c r="H274" t="inlineStr">
        <is>
          <t>N/A</t>
        </is>
      </c>
      <c r="I274" t="inlineStr">
        <is>
          <t>N/A</t>
        </is>
      </c>
      <c r="J274" t="inlineStr">
        <is>
          <t>N/A</t>
        </is>
      </c>
      <c r="K274" t="inlineStr">
        <is>
          <t>N/A</t>
        </is>
      </c>
      <c r="L274" t="inlineStr">
        <is>
          <t>N/A</t>
        </is>
      </c>
      <c r="M274" t="inlineStr">
        <is>
          <t>N/A</t>
        </is>
      </c>
      <c r="N274" t="inlineStr">
        <is>
          <t>N/A</t>
        </is>
      </c>
    </row>
    <row r="275">
      <c r="A275" t="inlineStr">
        <is>
          <t>R1</t>
        </is>
      </c>
      <c r="B275" t="inlineStr">
        <is>
          <t>CCU process vent</t>
        </is>
      </c>
      <c r="C275" t="inlineStr">
        <is>
          <t>N/A</t>
        </is>
      </c>
      <c r="D275" t="inlineStr">
        <is>
          <t>N/A</t>
        </is>
      </c>
      <c r="E275" t="inlineStr">
        <is>
          <t>N/A</t>
        </is>
      </c>
      <c r="F275" t="inlineStr">
        <is>
          <t>N/A</t>
        </is>
      </c>
      <c r="G275" t="inlineStr">
        <is>
          <t>N/A</t>
        </is>
      </c>
      <c r="H275" t="inlineStr">
        <is>
          <t>N/A</t>
        </is>
      </c>
      <c r="I275" t="inlineStr">
        <is>
          <t>N/A</t>
        </is>
      </c>
      <c r="J275" t="inlineStr">
        <is>
          <t>N/A</t>
        </is>
      </c>
      <c r="K275" t="inlineStr">
        <is>
          <t>N/A</t>
        </is>
      </c>
      <c r="L275" t="inlineStr">
        <is>
          <t>N/A</t>
        </is>
      </c>
      <c r="M275" t="inlineStr">
        <is>
          <t>N/A</t>
        </is>
      </c>
      <c r="N275" t="inlineStr">
        <is>
          <t>N/A</t>
        </is>
      </c>
    </row>
    <row r="276">
      <c r="A276" t="inlineStr">
        <is>
          <t>R1</t>
        </is>
      </c>
      <c r="B276" t="inlineStr">
        <is>
          <t>Product output</t>
        </is>
      </c>
      <c r="C276" t="inlineStr">
        <is>
          <t>N/A</t>
        </is>
      </c>
      <c r="D276" t="inlineStr">
        <is>
          <t>N/A</t>
        </is>
      </c>
      <c r="E276" t="inlineStr">
        <is>
          <t>N/A</t>
        </is>
      </c>
      <c r="F276" t="inlineStr">
        <is>
          <t>N/A</t>
        </is>
      </c>
      <c r="G276" t="inlineStr">
        <is>
          <t>N/A</t>
        </is>
      </c>
      <c r="H276" t="inlineStr">
        <is>
          <t>N/A</t>
        </is>
      </c>
      <c r="I276" t="inlineStr">
        <is>
          <t>N/A</t>
        </is>
      </c>
      <c r="J276" t="inlineStr">
        <is>
          <t>N/A</t>
        </is>
      </c>
      <c r="K276" t="inlineStr">
        <is>
          <t>N/A</t>
        </is>
      </c>
      <c r="L276" t="inlineStr">
        <is>
          <t>N/A</t>
        </is>
      </c>
      <c r="M276" t="inlineStr">
        <is>
          <t>N/A</t>
        </is>
      </c>
      <c r="N276" t="inlineStr">
        <is>
          <t>N/A</t>
        </is>
      </c>
    </row>
    <row r="277">
      <c r="A277" t="inlineStr">
        <is>
          <t>R1</t>
        </is>
      </c>
      <c r="B277" t="inlineStr">
        <is>
          <t>Displaced-product burden (cradle-to-grave)</t>
        </is>
      </c>
      <c r="C277" t="inlineStr">
        <is>
          <t>N/A</t>
        </is>
      </c>
      <c r="D277" t="inlineStr">
        <is>
          <t>N/A</t>
        </is>
      </c>
      <c r="E277" t="inlineStr">
        <is>
          <t>N/A</t>
        </is>
      </c>
      <c r="F277" t="inlineStr">
        <is>
          <t>N/A</t>
        </is>
      </c>
      <c r="G277" t="inlineStr">
        <is>
          <t>N/A</t>
        </is>
      </c>
      <c r="H277" t="inlineStr">
        <is>
          <t>N/A</t>
        </is>
      </c>
      <c r="I277" t="inlineStr">
        <is>
          <t>N/A</t>
        </is>
      </c>
      <c r="J277" t="inlineStr">
        <is>
          <t>N/A</t>
        </is>
      </c>
      <c r="K277" t="inlineStr">
        <is>
          <t>N/A</t>
        </is>
      </c>
      <c r="L277" t="inlineStr">
        <is>
          <t>N/A</t>
        </is>
      </c>
      <c r="M277" t="inlineStr">
        <is>
          <t>N/A</t>
        </is>
      </c>
      <c r="N277" t="inlineStr">
        <is>
          <t>N/A</t>
        </is>
      </c>
    </row>
    <row r="278">
      <c r="A278" t="inlineStr">
        <is>
          <t>R1</t>
        </is>
      </c>
      <c r="B278" t="inlineStr">
        <is>
          <t>Product fossil-combustion charge</t>
        </is>
      </c>
      <c r="C278" t="inlineStr">
        <is>
          <t>N/A</t>
        </is>
      </c>
      <c r="D278" t="inlineStr">
        <is>
          <t>N/A</t>
        </is>
      </c>
      <c r="E278" t="inlineStr">
        <is>
          <t>N/A</t>
        </is>
      </c>
      <c r="F278" t="inlineStr">
        <is>
          <t>N/A</t>
        </is>
      </c>
      <c r="G278" t="inlineStr">
        <is>
          <t>N/A</t>
        </is>
      </c>
      <c r="H278" t="inlineStr">
        <is>
          <t>N/A</t>
        </is>
      </c>
      <c r="I278" t="inlineStr">
        <is>
          <t>N/A</t>
        </is>
      </c>
      <c r="J278" t="inlineStr">
        <is>
          <t>N/A</t>
        </is>
      </c>
      <c r="K278" t="inlineStr">
        <is>
          <t>N/A</t>
        </is>
      </c>
      <c r="L278" t="inlineStr">
        <is>
          <t>N/A</t>
        </is>
      </c>
      <c r="M278" t="inlineStr">
        <is>
          <t>N/A</t>
        </is>
      </c>
      <c r="N278" t="inlineStr">
        <is>
          <t>N/A</t>
        </is>
      </c>
    </row>
    <row r="279">
      <c r="A279" t="inlineStr">
        <is>
          <t>R1</t>
        </is>
      </c>
      <c r="B279" t="inlineStr">
        <is>
          <t>Diverted plastic carbon</t>
        </is>
      </c>
      <c r="C279" t="inlineStr">
        <is>
          <t>D_p</t>
        </is>
      </c>
      <c r="D279" t="n">
        <v>17678</v>
      </c>
      <c r="E279" t="inlineStr">
        <is>
          <t>t-CO2/y</t>
        </is>
      </c>
      <c r="F279" t="inlineStr">
        <is>
          <t>already CO2</t>
        </is>
      </c>
      <c r="G279" t="inlineStr">
        <is>
          <t>t-CO2/y</t>
        </is>
      </c>
      <c r="H279" t="inlineStr">
        <is>
          <t>PLASTIC</t>
        </is>
      </c>
      <c r="I279" t="inlineStr">
        <is>
          <t>minus D_p x s_F under treatment A; zero under treatment B</t>
        </is>
      </c>
      <c r="J279" t="inlineStr">
        <is>
          <t>random through F</t>
        </is>
      </c>
      <c r="K279" t="inlineStr">
        <is>
          <t>pathway-specific</t>
        </is>
      </c>
      <c r="L279" t="inlineStr">
        <is>
          <t>A only</t>
        </is>
      </c>
      <c r="M279" t="inlineStr">
        <is>
          <t>-</t>
        </is>
      </c>
      <c r="N279" t="inlineStr">
        <is>
          <t>harmonised inventory</t>
        </is>
      </c>
    </row>
    <row r="280">
      <c r="A280" t="inlineStr">
        <is>
          <t>R1</t>
        </is>
      </c>
      <c r="B280" t="inlineStr">
        <is>
          <t>Permanent geological storage</t>
        </is>
      </c>
      <c r="C280" t="inlineStr">
        <is>
          <t>N/A</t>
        </is>
      </c>
      <c r="D280" t="inlineStr">
        <is>
          <t>N/A</t>
        </is>
      </c>
      <c r="E280" t="inlineStr">
        <is>
          <t>N/A</t>
        </is>
      </c>
      <c r="F280" t="inlineStr">
        <is>
          <t>N/A</t>
        </is>
      </c>
      <c r="G280" t="inlineStr">
        <is>
          <t>N/A</t>
        </is>
      </c>
      <c r="H280" t="inlineStr">
        <is>
          <t>N/A</t>
        </is>
      </c>
      <c r="I280" t="inlineStr">
        <is>
          <t>N/A</t>
        </is>
      </c>
      <c r="J280" t="inlineStr">
        <is>
          <t>N/A</t>
        </is>
      </c>
      <c r="K280" t="inlineStr">
        <is>
          <t>N/A</t>
        </is>
      </c>
      <c r="L280" t="inlineStr">
        <is>
          <t>N/A</t>
        </is>
      </c>
      <c r="M280" t="inlineStr">
        <is>
          <t>N/A</t>
        </is>
      </c>
      <c r="N280" t="inlineStr">
        <is>
          <t>N/A</t>
        </is>
      </c>
    </row>
    <row r="281">
      <c r="A281" t="inlineStr">
        <is>
          <t>R1</t>
        </is>
      </c>
      <c r="B281" t="inlineStr">
        <is>
          <t>Temporary product storage</t>
        </is>
      </c>
      <c r="C281" t="inlineStr">
        <is>
          <t>tau_50, k</t>
        </is>
      </c>
      <c r="D281" t="inlineStr">
        <is>
          <t>applies</t>
        </is>
      </c>
      <c r="E281" t="inlineStr">
        <is>
          <t>y</t>
        </is>
      </c>
      <c r="F281" t="inlineStr">
        <is>
          <t>Weibull</t>
        </is>
      </c>
      <c r="G281" t="inlineStr">
        <is>
          <t>t-CO2/y</t>
        </is>
      </c>
      <c r="H281" t="inlineStr">
        <is>
          <t>not included</t>
        </is>
      </c>
      <c r="I281" t="inlineStr">
        <is>
          <t>enters the dynamic climate layer only; the static balance is time-independent</t>
        </is>
      </c>
      <c r="J281" t="inlineStr">
        <is>
          <t>deterministic</t>
        </is>
      </c>
      <c r="K281" t="inlineStr">
        <is>
          <t>pathway-specific</t>
        </is>
      </c>
      <c r="L281" t="inlineStr">
        <is>
          <t>none</t>
        </is>
      </c>
      <c r="M281" t="inlineStr">
        <is>
          <t>n/a</t>
        </is>
      </c>
      <c r="N281" t="inlineStr">
        <is>
          <t>Table 1 (main text)</t>
        </is>
      </c>
    </row>
    <row r="282">
      <c r="A282" t="inlineStr">
        <is>
          <t>R1</t>
        </is>
      </c>
      <c r="B282" t="inlineStr">
        <is>
          <t>Final atmospheric release</t>
        </is>
      </c>
      <c r="C282" t="inlineStr">
        <is>
          <t>E_product,f</t>
        </is>
      </c>
      <c r="D282" t="inlineStr">
        <is>
          <t>applies</t>
        </is>
      </c>
      <c r="E282" t="inlineStr">
        <is>
          <t>t-CO2/y</t>
        </is>
      </c>
      <c r="F282" t="inlineStr">
        <is>
          <t>already CO2</t>
        </is>
      </c>
      <c r="G282" t="inlineStr">
        <is>
          <t>t-CO2/y</t>
        </is>
      </c>
      <c r="H282" t="inlineStr">
        <is>
          <t>CARBON</t>
        </is>
      </c>
      <c r="I282" t="inlineStr">
        <is>
          <t>accounted through the QB charge (utilization) or D_p (recycling); the deferred release of U2b enters the dynamic layer</t>
        </is>
      </c>
      <c r="J282" t="inlineStr">
        <is>
          <t>random</t>
        </is>
      </c>
      <c r="K282" t="inlineStr">
        <is>
          <t>pathway-specific</t>
        </is>
      </c>
      <c r="L282" t="inlineStr">
        <is>
          <t>A/B for recycling</t>
        </is>
      </c>
      <c r="M282" t="inlineStr">
        <is>
          <t>+</t>
        </is>
      </c>
      <c r="N282" t="inlineStr">
        <is>
          <t>model</t>
        </is>
      </c>
    </row>
    <row r="283">
      <c r="A283" t="inlineStr">
        <is>
          <t>R1</t>
        </is>
      </c>
      <c r="B283" t="inlineStr">
        <is>
          <t>Capture solvent burden (R1 explicit)</t>
        </is>
      </c>
      <c r="C283" t="inlineStr">
        <is>
          <t>N/A</t>
        </is>
      </c>
      <c r="D283" t="inlineStr">
        <is>
          <t>N/A</t>
        </is>
      </c>
      <c r="E283" t="inlineStr">
        <is>
          <t>N/A</t>
        </is>
      </c>
      <c r="F283" t="inlineStr">
        <is>
          <t>N/A</t>
        </is>
      </c>
      <c r="G283" t="inlineStr">
        <is>
          <t>N/A</t>
        </is>
      </c>
      <c r="H283" t="inlineStr">
        <is>
          <t>N/A</t>
        </is>
      </c>
      <c r="I283" t="inlineStr">
        <is>
          <t>N/A</t>
        </is>
      </c>
      <c r="J283" t="inlineStr">
        <is>
          <t>N/A</t>
        </is>
      </c>
      <c r="K283" t="inlineStr">
        <is>
          <t>N/A</t>
        </is>
      </c>
      <c r="L283" t="inlineStr">
        <is>
          <t>N/A</t>
        </is>
      </c>
      <c r="M283" t="inlineStr">
        <is>
          <t>N/A</t>
        </is>
      </c>
      <c r="N283" t="inlineStr">
        <is>
          <t>N/A</t>
        </is>
      </c>
    </row>
    <row r="284">
      <c r="A284" t="inlineStr">
        <is>
          <t>R1</t>
        </is>
      </c>
      <c r="B284" t="inlineStr">
        <is>
          <t>Transport (R1 explicit: CO2 to storage / ore / slag / CO2 to synthesis)</t>
        </is>
      </c>
      <c r="C284" t="inlineStr">
        <is>
          <t>N/A</t>
        </is>
      </c>
      <c r="D284" t="inlineStr">
        <is>
          <t>N/A</t>
        </is>
      </c>
      <c r="E284" t="inlineStr">
        <is>
          <t>N/A</t>
        </is>
      </c>
      <c r="F284" t="inlineStr">
        <is>
          <t>N/A</t>
        </is>
      </c>
      <c r="G284" t="inlineStr">
        <is>
          <t>N/A</t>
        </is>
      </c>
      <c r="H284" t="inlineStr">
        <is>
          <t>N/A</t>
        </is>
      </c>
      <c r="I284" t="inlineStr">
        <is>
          <t>N/A</t>
        </is>
      </c>
      <c r="J284" t="inlineStr">
        <is>
          <t>N/A</t>
        </is>
      </c>
      <c r="K284" t="inlineStr">
        <is>
          <t>N/A</t>
        </is>
      </c>
      <c r="L284" t="inlineStr">
        <is>
          <t>N/A</t>
        </is>
      </c>
      <c r="M284" t="inlineStr">
        <is>
          <t>N/A</t>
        </is>
      </c>
      <c r="N284" t="inlineStr">
        <is>
          <t>N/A</t>
        </is>
      </c>
    </row>
    <row r="285">
      <c r="A285" t="inlineStr">
        <is>
          <t>R1</t>
        </is>
      </c>
      <c r="B285" t="inlineStr">
        <is>
          <t>Product transport</t>
        </is>
      </c>
      <c r="C285" t="inlineStr">
        <is>
          <t>Tr_prod</t>
        </is>
      </c>
      <c r="D285" t="inlineStr">
        <is>
          <t>inside residual</t>
        </is>
      </c>
      <c r="E285" t="inlineStr">
        <is>
          <t>t-CO2/y</t>
        </is>
      </c>
      <c r="F285" t="inlineStr">
        <is>
          <t>already CO2</t>
        </is>
      </c>
      <c r="G285" t="inlineStr">
        <is>
          <t>t-CO2/y</t>
        </is>
      </c>
      <c r="H285" t="inlineStr">
        <is>
          <t>RESIDUAL</t>
        </is>
      </c>
      <c r="I285" t="inlineStr">
        <is>
          <t>held at its national value, x m_rem</t>
        </is>
      </c>
      <c r="J285" t="inlineStr">
        <is>
          <t>random through m_rem</t>
        </is>
      </c>
      <c r="K285" t="inlineStr">
        <is>
          <t>pathway-specific</t>
        </is>
      </c>
      <c r="L285" t="inlineStr">
        <is>
          <t>none</t>
        </is>
      </c>
      <c r="M285" t="inlineStr">
        <is>
          <t>+</t>
        </is>
      </c>
      <c r="N285" t="inlineStr">
        <is>
          <t>calibrated remainder</t>
        </is>
      </c>
    </row>
    <row r="286">
      <c r="A286" t="inlineStr">
        <is>
          <t>R1</t>
        </is>
      </c>
      <c r="B286" t="inlineStr">
        <is>
          <t>Capital-related burdens</t>
        </is>
      </c>
      <c r="C286" t="inlineStr">
        <is>
          <t>C_cap</t>
        </is>
      </c>
      <c r="D286" t="inlineStr">
        <is>
          <t>inside residual</t>
        </is>
      </c>
      <c r="E286" t="inlineStr">
        <is>
          <t>t-CO2/y</t>
        </is>
      </c>
      <c r="F286" t="inlineStr">
        <is>
          <t>annualised</t>
        </is>
      </c>
      <c r="G286" t="inlineStr">
        <is>
          <t>t-CO2/y</t>
        </is>
      </c>
      <c r="H286" t="inlineStr">
        <is>
          <t>RESIDUAL</t>
        </is>
      </c>
      <c r="I286" t="inlineStr">
        <is>
          <t>annualised, held at its national value, x m_rem</t>
        </is>
      </c>
      <c r="J286" t="inlineStr">
        <is>
          <t>random through m_rem</t>
        </is>
      </c>
      <c r="K286" t="inlineStr">
        <is>
          <t>pathway-specific</t>
        </is>
      </c>
      <c r="L286" t="inlineStr">
        <is>
          <t>none</t>
        </is>
      </c>
      <c r="M286" t="inlineStr">
        <is>
          <t>+</t>
        </is>
      </c>
      <c r="N286" t="inlineStr">
        <is>
          <t>calibrated remainder</t>
        </is>
      </c>
    </row>
    <row r="287">
      <c r="A287" t="inlineStr">
        <is>
          <t>R1</t>
        </is>
      </c>
      <c r="B287" t="inlineStr">
        <is>
          <t>Calibrated residual, total</t>
        </is>
      </c>
      <c r="C287" t="inlineStr">
        <is>
          <t>C_p</t>
        </is>
      </c>
      <c r="D287" t="n">
        <v>-8639.02</v>
      </c>
      <c r="E287" t="inlineStr">
        <is>
          <t>t-CO2/y</t>
        </is>
      </c>
      <c r="F287" t="inlineStr">
        <is>
          <t>already CO2</t>
        </is>
      </c>
      <c r="G287" t="inlineStr">
        <is>
          <t>t-CO2/y</t>
        </is>
      </c>
      <c r="H287" t="inlineStr">
        <is>
          <t>RESIDUAL</t>
        </is>
      </c>
      <c r="I287" t="inlineStr">
        <is>
          <t>C_p x m_rem</t>
        </is>
      </c>
      <c r="J287" t="inlineStr">
        <is>
          <t>random through m_rem</t>
        </is>
      </c>
      <c r="K287" t="inlineStr">
        <is>
          <t>pathway-specific</t>
        </is>
      </c>
      <c r="L287" t="inlineStr">
        <is>
          <t>shifts with the anchor under B</t>
        </is>
      </c>
      <c r="M287" t="inlineStr">
        <is>
          <t>+/-</t>
        </is>
      </c>
      <c r="N287" t="inlineStr">
        <is>
          <t>verified national value minus the explicit groups</t>
        </is>
      </c>
    </row>
    <row r="288">
      <c r="A288" t="inlineStr">
        <is>
          <t>R2</t>
        </is>
      </c>
      <c r="B288" t="inlineStr">
        <is>
          <t>Plant auxiliary electricity</t>
        </is>
      </c>
      <c r="C288" t="inlineStr">
        <is>
          <t>E_aux</t>
        </is>
      </c>
      <c r="D288" t="n">
        <v>24360</v>
      </c>
      <c r="E288" t="inlineStr">
        <is>
          <t>MWh/y</t>
        </is>
      </c>
      <c r="F288" t="inlineStr">
        <is>
          <t>EF</t>
        </is>
      </c>
      <c r="G288" t="inlineStr">
        <is>
          <t>t-CO2/y</t>
        </is>
      </c>
      <c r="H288" t="inlineStr">
        <is>
          <t>FIXED</t>
        </is>
      </c>
      <c r="I288" t="inlineStr">
        <is>
          <t>E_aux x EF</t>
        </is>
      </c>
      <c r="J288" t="inlineStr">
        <is>
          <t>random through EF</t>
        </is>
      </c>
      <c r="K288" t="inlineStr">
        <is>
          <t>EF shared by all pathways</t>
        </is>
      </c>
      <c r="L288" t="inlineStr">
        <is>
          <t>none</t>
        </is>
      </c>
      <c r="M288" t="inlineStr">
        <is>
          <t>+</t>
        </is>
      </c>
      <c r="N288" t="inlineStr">
        <is>
          <t>harmonised inventory</t>
        </is>
      </c>
    </row>
    <row r="289">
      <c r="A289" t="inlineStr">
        <is>
          <t>R2</t>
        </is>
      </c>
      <c r="B289" t="inlineStr">
        <is>
          <t>Baseline electricity export</t>
        </is>
      </c>
      <c r="C289" t="inlineStr">
        <is>
          <t>E_exp_base</t>
        </is>
      </c>
      <c r="D289" t="n">
        <v>-43207</v>
      </c>
      <c r="E289" t="inlineStr">
        <is>
          <t>MWh/y</t>
        </is>
      </c>
      <c r="F289" t="inlineStr">
        <is>
          <t>EF</t>
        </is>
      </c>
      <c r="G289" t="inlineStr">
        <is>
          <t>t-CO2/y</t>
        </is>
      </c>
      <c r="H289" t="inlineStr">
        <is>
          <t>FIXED</t>
        </is>
      </c>
      <c r="I289" t="inlineStr">
        <is>
          <t>minus E_exp_base x EF</t>
        </is>
      </c>
      <c r="J289" t="inlineStr">
        <is>
          <t>random through EF</t>
        </is>
      </c>
      <c r="K289" t="inlineStr">
        <is>
          <t>EF shared by all pathways</t>
        </is>
      </c>
      <c r="L289" t="inlineStr">
        <is>
          <t>none</t>
        </is>
      </c>
      <c r="M289" t="inlineStr">
        <is>
          <t>-</t>
        </is>
      </c>
      <c r="N289" t="inlineStr">
        <is>
          <t>harmonised inventory</t>
        </is>
      </c>
    </row>
    <row r="290">
      <c r="A290" t="inlineStr">
        <is>
          <t>R2</t>
        </is>
      </c>
      <c r="B290" t="inlineStr">
        <is>
          <t>Steam generation burden</t>
        </is>
      </c>
      <c r="C290" t="inlineStr">
        <is>
          <t>n/a</t>
        </is>
      </c>
      <c r="D290" t="inlineStr">
        <is>
          <t>not separate</t>
        </is>
      </c>
      <c r="E290" t="inlineStr">
        <is>
          <t>MWh/y</t>
        </is>
      </c>
      <c r="F290" t="inlineStr">
        <is>
          <t>n/a</t>
        </is>
      </c>
      <c r="G290" t="inlineStr">
        <is>
          <t>t-CO2/y</t>
        </is>
      </c>
      <c r="H290" t="inlineStr">
        <is>
          <t>FIXED</t>
        </is>
      </c>
      <c r="I290" t="inlineStr">
        <is>
          <t>inside E_exp_base; same waste tonnage in every region</t>
        </is>
      </c>
      <c r="J290" t="inlineStr">
        <is>
          <t>deterministic</t>
        </is>
      </c>
      <c r="K290" t="inlineStr">
        <is>
          <t>shared by all pathways</t>
        </is>
      </c>
      <c r="L290" t="inlineStr">
        <is>
          <t>none</t>
        </is>
      </c>
      <c r="M290" t="inlineStr">
        <is>
          <t>n/a</t>
        </is>
      </c>
      <c r="N290" t="inlineStr">
        <is>
          <t>harmonised inventory</t>
        </is>
      </c>
    </row>
    <row r="291">
      <c r="A291" t="inlineStr">
        <is>
          <t>R2</t>
        </is>
      </c>
      <c r="B291" t="inlineStr">
        <is>
          <t>Steam-extraction export penalty</t>
        </is>
      </c>
      <c r="C291" t="inlineStr">
        <is>
          <t>N/A</t>
        </is>
      </c>
      <c r="D291" t="inlineStr">
        <is>
          <t>N/A</t>
        </is>
      </c>
      <c r="E291" t="inlineStr">
        <is>
          <t>N/A</t>
        </is>
      </c>
      <c r="F291" t="inlineStr">
        <is>
          <t>N/A</t>
        </is>
      </c>
      <c r="G291" t="inlineStr">
        <is>
          <t>N/A</t>
        </is>
      </c>
      <c r="H291" t="inlineStr">
        <is>
          <t>N/A</t>
        </is>
      </c>
      <c r="I291" t="inlineStr">
        <is>
          <t>N/A</t>
        </is>
      </c>
      <c r="J291" t="inlineStr">
        <is>
          <t>N/A</t>
        </is>
      </c>
      <c r="K291" t="inlineStr">
        <is>
          <t>N/A</t>
        </is>
      </c>
      <c r="L291" t="inlineStr">
        <is>
          <t>N/A</t>
        </is>
      </c>
      <c r="M291" t="inlineStr">
        <is>
          <t>N/A</t>
        </is>
      </c>
      <c r="N291" t="inlineStr">
        <is>
          <t>N/A</t>
        </is>
      </c>
    </row>
    <row r="292">
      <c r="A292" t="inlineStr">
        <is>
          <t>R2</t>
        </is>
      </c>
      <c r="B292" t="inlineStr">
        <is>
          <t>Capture electricity</t>
        </is>
      </c>
      <c r="C292" t="inlineStr">
        <is>
          <t>N/A</t>
        </is>
      </c>
      <c r="D292" t="inlineStr">
        <is>
          <t>N/A</t>
        </is>
      </c>
      <c r="E292" t="inlineStr">
        <is>
          <t>N/A</t>
        </is>
      </c>
      <c r="F292" t="inlineStr">
        <is>
          <t>N/A</t>
        </is>
      </c>
      <c r="G292" t="inlineStr">
        <is>
          <t>N/A</t>
        </is>
      </c>
      <c r="H292" t="inlineStr">
        <is>
          <t>N/A</t>
        </is>
      </c>
      <c r="I292" t="inlineStr">
        <is>
          <t>N/A</t>
        </is>
      </c>
      <c r="J292" t="inlineStr">
        <is>
          <t>N/A</t>
        </is>
      </c>
      <c r="K292" t="inlineStr">
        <is>
          <t>N/A</t>
        </is>
      </c>
      <c r="L292" t="inlineStr">
        <is>
          <t>N/A</t>
        </is>
      </c>
      <c r="M292" t="inlineStr">
        <is>
          <t>N/A</t>
        </is>
      </c>
      <c r="N292" t="inlineStr">
        <is>
          <t>N/A</t>
        </is>
      </c>
    </row>
    <row r="293">
      <c r="A293" t="inlineStr">
        <is>
          <t>R2</t>
        </is>
      </c>
      <c r="B293" t="inlineStr">
        <is>
          <t>CO2 compression electricity</t>
        </is>
      </c>
      <c r="C293" t="inlineStr">
        <is>
          <t>N/A</t>
        </is>
      </c>
      <c r="D293" t="inlineStr">
        <is>
          <t>N/A</t>
        </is>
      </c>
      <c r="E293" t="inlineStr">
        <is>
          <t>N/A</t>
        </is>
      </c>
      <c r="F293" t="inlineStr">
        <is>
          <t>N/A</t>
        </is>
      </c>
      <c r="G293" t="inlineStr">
        <is>
          <t>N/A</t>
        </is>
      </c>
      <c r="H293" t="inlineStr">
        <is>
          <t>N/A</t>
        </is>
      </c>
      <c r="I293" t="inlineStr">
        <is>
          <t>N/A</t>
        </is>
      </c>
      <c r="J293" t="inlineStr">
        <is>
          <t>N/A</t>
        </is>
      </c>
      <c r="K293" t="inlineStr">
        <is>
          <t>N/A</t>
        </is>
      </c>
      <c r="L293" t="inlineStr">
        <is>
          <t>N/A</t>
        </is>
      </c>
      <c r="M293" t="inlineStr">
        <is>
          <t>N/A</t>
        </is>
      </c>
      <c r="N293" t="inlineStr">
        <is>
          <t>N/A</t>
        </is>
      </c>
    </row>
    <row r="294">
      <c r="A294" t="inlineStr">
        <is>
          <t>R2</t>
        </is>
      </c>
      <c r="B294" t="inlineStr">
        <is>
          <t>Conversion electricity</t>
        </is>
      </c>
      <c r="C294" t="inlineStr">
        <is>
          <t>N/A</t>
        </is>
      </c>
      <c r="D294" t="inlineStr">
        <is>
          <t>N/A</t>
        </is>
      </c>
      <c r="E294" t="inlineStr">
        <is>
          <t>N/A</t>
        </is>
      </c>
      <c r="F294" t="inlineStr">
        <is>
          <t>N/A</t>
        </is>
      </c>
      <c r="G294" t="inlineStr">
        <is>
          <t>N/A</t>
        </is>
      </c>
      <c r="H294" t="inlineStr">
        <is>
          <t>N/A</t>
        </is>
      </c>
      <c r="I294" t="inlineStr">
        <is>
          <t>N/A</t>
        </is>
      </c>
      <c r="J294" t="inlineStr">
        <is>
          <t>N/A</t>
        </is>
      </c>
      <c r="K294" t="inlineStr">
        <is>
          <t>N/A</t>
        </is>
      </c>
      <c r="L294" t="inlineStr">
        <is>
          <t>N/A</t>
        </is>
      </c>
      <c r="M294" t="inlineStr">
        <is>
          <t>N/A</t>
        </is>
      </c>
      <c r="N294" t="inlineStr">
        <is>
          <t>N/A</t>
        </is>
      </c>
    </row>
    <row r="295">
      <c r="A295" t="inlineStr">
        <is>
          <t>R2</t>
        </is>
      </c>
      <c r="B295" t="inlineStr">
        <is>
          <t>Total capture, compression and conversion electricity</t>
        </is>
      </c>
      <c r="C295" t="inlineStr">
        <is>
          <t>N/A</t>
        </is>
      </c>
      <c r="D295" t="inlineStr">
        <is>
          <t>N/A</t>
        </is>
      </c>
      <c r="E295" t="inlineStr">
        <is>
          <t>N/A</t>
        </is>
      </c>
      <c r="F295" t="inlineStr">
        <is>
          <t>N/A</t>
        </is>
      </c>
      <c r="G295" t="inlineStr">
        <is>
          <t>N/A</t>
        </is>
      </c>
      <c r="H295" t="inlineStr">
        <is>
          <t>N/A</t>
        </is>
      </c>
      <c r="I295" t="inlineStr">
        <is>
          <t>N/A</t>
        </is>
      </c>
      <c r="J295" t="inlineStr">
        <is>
          <t>N/A</t>
        </is>
      </c>
      <c r="K295" t="inlineStr">
        <is>
          <t>N/A</t>
        </is>
      </c>
      <c r="L295" t="inlineStr">
        <is>
          <t>N/A</t>
        </is>
      </c>
      <c r="M295" t="inlineStr">
        <is>
          <t>N/A</t>
        </is>
      </c>
      <c r="N295" t="inlineStr">
        <is>
          <t>N/A</t>
        </is>
      </c>
    </row>
    <row r="296">
      <c r="A296" t="inlineStr">
        <is>
          <t>R2</t>
        </is>
      </c>
      <c r="B296" t="inlineStr">
        <is>
          <t>Pyrolysis electricity</t>
        </is>
      </c>
      <c r="C296" t="inlineStr">
        <is>
          <t>E_proc</t>
        </is>
      </c>
      <c r="D296" t="n">
        <v>357</v>
      </c>
      <c r="E296" t="inlineStr">
        <is>
          <t>MWh/y</t>
        </is>
      </c>
      <c r="F296" t="inlineStr">
        <is>
          <t>EF</t>
        </is>
      </c>
      <c r="G296" t="inlineStr">
        <is>
          <t>t-CO2/y</t>
        </is>
      </c>
      <c r="H296" t="inlineStr">
        <is>
          <t>PLASTIC</t>
        </is>
      </c>
      <c r="I296" t="inlineStr">
        <is>
          <t>E_proc x s_F x EF x m_el</t>
        </is>
      </c>
      <c r="J296" t="inlineStr">
        <is>
          <t>random</t>
        </is>
      </c>
      <c r="K296" t="inlineStr">
        <is>
          <t>m_el shared within family</t>
        </is>
      </c>
      <c r="L296" t="inlineStr">
        <is>
          <t>none</t>
        </is>
      </c>
      <c r="M296" t="inlineStr">
        <is>
          <t>+</t>
        </is>
      </c>
      <c r="N296" t="inlineStr">
        <is>
          <t>harmonised inventory</t>
        </is>
      </c>
    </row>
    <row r="297">
      <c r="A297" t="inlineStr">
        <is>
          <t>R2</t>
        </is>
      </c>
      <c r="B297" t="inlineStr">
        <is>
          <t>Hydrogen demand</t>
        </is>
      </c>
      <c r="C297" t="inlineStr">
        <is>
          <t>N/A</t>
        </is>
      </c>
      <c r="D297" t="inlineStr">
        <is>
          <t>N/A</t>
        </is>
      </c>
      <c r="E297" t="inlineStr">
        <is>
          <t>N/A</t>
        </is>
      </c>
      <c r="F297" t="inlineStr">
        <is>
          <t>N/A</t>
        </is>
      </c>
      <c r="G297" t="inlineStr">
        <is>
          <t>N/A</t>
        </is>
      </c>
      <c r="H297" t="inlineStr">
        <is>
          <t>N/A</t>
        </is>
      </c>
      <c r="I297" t="inlineStr">
        <is>
          <t>N/A</t>
        </is>
      </c>
      <c r="J297" t="inlineStr">
        <is>
          <t>N/A</t>
        </is>
      </c>
      <c r="K297" t="inlineStr">
        <is>
          <t>N/A</t>
        </is>
      </c>
      <c r="L297" t="inlineStr">
        <is>
          <t>N/A</t>
        </is>
      </c>
      <c r="M297" t="inlineStr">
        <is>
          <t>N/A</t>
        </is>
      </c>
      <c r="N297" t="inlineStr">
        <is>
          <t>N/A</t>
        </is>
      </c>
    </row>
    <row r="298">
      <c r="A298" t="inlineStr">
        <is>
          <t>R2</t>
        </is>
      </c>
      <c r="B298" t="inlineStr">
        <is>
          <t>Direct fossil-carbon emission</t>
        </is>
      </c>
      <c r="C298" t="inlineStr">
        <is>
          <t>F</t>
        </is>
      </c>
      <c r="D298" t="n">
        <v>26475.1872</v>
      </c>
      <c r="E298" t="inlineStr">
        <is>
          <t>t-CO2/y</t>
        </is>
      </c>
      <c r="F298" t="inlineStr">
        <is>
          <t>already CO2</t>
        </is>
      </c>
      <c r="G298" t="inlineStr">
        <is>
          <t>t-CO2/y</t>
        </is>
      </c>
      <c r="H298" t="inlineStr">
        <is>
          <t>CARBON</t>
        </is>
      </c>
      <c r="I298" t="inlineStr">
        <is>
          <t>enters phi; see the carbon-flow rows below</t>
        </is>
      </c>
      <c r="J298" t="inlineStr">
        <is>
          <t>random</t>
        </is>
      </c>
      <c r="K298" t="inlineStr">
        <is>
          <t>F shared by all pathways</t>
        </is>
      </c>
      <c r="L298" t="inlineStr">
        <is>
          <t>none</t>
        </is>
      </c>
      <c r="M298" t="inlineStr">
        <is>
          <t>+</t>
        </is>
      </c>
      <c r="N298" t="inlineStr">
        <is>
          <t>national waste survey</t>
        </is>
      </c>
    </row>
    <row r="299">
      <c r="A299" t="inlineStr">
        <is>
          <t>R2</t>
        </is>
      </c>
      <c r="B299" t="inlineStr">
        <is>
          <t>Uncaptured fossil fraction</t>
        </is>
      </c>
      <c r="C299" t="inlineStr">
        <is>
          <t>N/A</t>
        </is>
      </c>
      <c r="D299" t="inlineStr">
        <is>
          <t>N/A</t>
        </is>
      </c>
      <c r="E299" t="inlineStr">
        <is>
          <t>N/A</t>
        </is>
      </c>
      <c r="F299" t="inlineStr">
        <is>
          <t>N/A</t>
        </is>
      </c>
      <c r="G299" t="inlineStr">
        <is>
          <t>N/A</t>
        </is>
      </c>
      <c r="H299" t="inlineStr">
        <is>
          <t>N/A</t>
        </is>
      </c>
      <c r="I299" t="inlineStr">
        <is>
          <t>N/A</t>
        </is>
      </c>
      <c r="J299" t="inlineStr">
        <is>
          <t>N/A</t>
        </is>
      </c>
      <c r="K299" t="inlineStr">
        <is>
          <t>N/A</t>
        </is>
      </c>
      <c r="L299" t="inlineStr">
        <is>
          <t>N/A</t>
        </is>
      </c>
      <c r="M299" t="inlineStr">
        <is>
          <t>N/A</t>
        </is>
      </c>
      <c r="N299" t="inlineStr">
        <is>
          <t>N/A</t>
        </is>
      </c>
    </row>
    <row r="300">
      <c r="A300" t="inlineStr">
        <is>
          <t>R2</t>
        </is>
      </c>
      <c r="B300" t="inlineStr">
        <is>
          <t>Mineralization reactor loss</t>
        </is>
      </c>
      <c r="C300" t="inlineStr">
        <is>
          <t>N/A</t>
        </is>
      </c>
      <c r="D300" t="inlineStr">
        <is>
          <t>N/A</t>
        </is>
      </c>
      <c r="E300" t="inlineStr">
        <is>
          <t>N/A</t>
        </is>
      </c>
      <c r="F300" t="inlineStr">
        <is>
          <t>N/A</t>
        </is>
      </c>
      <c r="G300" t="inlineStr">
        <is>
          <t>N/A</t>
        </is>
      </c>
      <c r="H300" t="inlineStr">
        <is>
          <t>N/A</t>
        </is>
      </c>
      <c r="I300" t="inlineStr">
        <is>
          <t>N/A</t>
        </is>
      </c>
      <c r="J300" t="inlineStr">
        <is>
          <t>N/A</t>
        </is>
      </c>
      <c r="K300" t="inlineStr">
        <is>
          <t>N/A</t>
        </is>
      </c>
      <c r="L300" t="inlineStr">
        <is>
          <t>N/A</t>
        </is>
      </c>
      <c r="M300" t="inlineStr">
        <is>
          <t>N/A</t>
        </is>
      </c>
      <c r="N300" t="inlineStr">
        <is>
          <t>N/A</t>
        </is>
      </c>
    </row>
    <row r="301">
      <c r="A301" t="inlineStr">
        <is>
          <t>R2</t>
        </is>
      </c>
      <c r="B301" t="inlineStr">
        <is>
          <t>CCU process vent</t>
        </is>
      </c>
      <c r="C301" t="inlineStr">
        <is>
          <t>N/A</t>
        </is>
      </c>
      <c r="D301" t="inlineStr">
        <is>
          <t>N/A</t>
        </is>
      </c>
      <c r="E301" t="inlineStr">
        <is>
          <t>N/A</t>
        </is>
      </c>
      <c r="F301" t="inlineStr">
        <is>
          <t>N/A</t>
        </is>
      </c>
      <c r="G301" t="inlineStr">
        <is>
          <t>N/A</t>
        </is>
      </c>
      <c r="H301" t="inlineStr">
        <is>
          <t>N/A</t>
        </is>
      </c>
      <c r="I301" t="inlineStr">
        <is>
          <t>N/A</t>
        </is>
      </c>
      <c r="J301" t="inlineStr">
        <is>
          <t>N/A</t>
        </is>
      </c>
      <c r="K301" t="inlineStr">
        <is>
          <t>N/A</t>
        </is>
      </c>
      <c r="L301" t="inlineStr">
        <is>
          <t>N/A</t>
        </is>
      </c>
      <c r="M301" t="inlineStr">
        <is>
          <t>N/A</t>
        </is>
      </c>
      <c r="N301" t="inlineStr">
        <is>
          <t>N/A</t>
        </is>
      </c>
    </row>
    <row r="302">
      <c r="A302" t="inlineStr">
        <is>
          <t>R2</t>
        </is>
      </c>
      <c r="B302" t="inlineStr">
        <is>
          <t>Product output</t>
        </is>
      </c>
      <c r="C302" t="inlineStr">
        <is>
          <t>N/A</t>
        </is>
      </c>
      <c r="D302" t="inlineStr">
        <is>
          <t>N/A</t>
        </is>
      </c>
      <c r="E302" t="inlineStr">
        <is>
          <t>N/A</t>
        </is>
      </c>
      <c r="F302" t="inlineStr">
        <is>
          <t>N/A</t>
        </is>
      </c>
      <c r="G302" t="inlineStr">
        <is>
          <t>N/A</t>
        </is>
      </c>
      <c r="H302" t="inlineStr">
        <is>
          <t>N/A</t>
        </is>
      </c>
      <c r="I302" t="inlineStr">
        <is>
          <t>N/A</t>
        </is>
      </c>
      <c r="J302" t="inlineStr">
        <is>
          <t>N/A</t>
        </is>
      </c>
      <c r="K302" t="inlineStr">
        <is>
          <t>N/A</t>
        </is>
      </c>
      <c r="L302" t="inlineStr">
        <is>
          <t>N/A</t>
        </is>
      </c>
      <c r="M302" t="inlineStr">
        <is>
          <t>N/A</t>
        </is>
      </c>
      <c r="N302" t="inlineStr">
        <is>
          <t>N/A</t>
        </is>
      </c>
    </row>
    <row r="303">
      <c r="A303" t="inlineStr">
        <is>
          <t>R2</t>
        </is>
      </c>
      <c r="B303" t="inlineStr">
        <is>
          <t>Displaced-product burden (cradle-to-grave)</t>
        </is>
      </c>
      <c r="C303" t="inlineStr">
        <is>
          <t>N/A</t>
        </is>
      </c>
      <c r="D303" t="inlineStr">
        <is>
          <t>N/A</t>
        </is>
      </c>
      <c r="E303" t="inlineStr">
        <is>
          <t>N/A</t>
        </is>
      </c>
      <c r="F303" t="inlineStr">
        <is>
          <t>N/A</t>
        </is>
      </c>
      <c r="G303" t="inlineStr">
        <is>
          <t>N/A</t>
        </is>
      </c>
      <c r="H303" t="inlineStr">
        <is>
          <t>N/A</t>
        </is>
      </c>
      <c r="I303" t="inlineStr">
        <is>
          <t>N/A</t>
        </is>
      </c>
      <c r="J303" t="inlineStr">
        <is>
          <t>N/A</t>
        </is>
      </c>
      <c r="K303" t="inlineStr">
        <is>
          <t>N/A</t>
        </is>
      </c>
      <c r="L303" t="inlineStr">
        <is>
          <t>N/A</t>
        </is>
      </c>
      <c r="M303" t="inlineStr">
        <is>
          <t>N/A</t>
        </is>
      </c>
      <c r="N303" t="inlineStr">
        <is>
          <t>N/A</t>
        </is>
      </c>
    </row>
    <row r="304">
      <c r="A304" t="inlineStr">
        <is>
          <t>R2</t>
        </is>
      </c>
      <c r="B304" t="inlineStr">
        <is>
          <t>Product fossil-combustion charge</t>
        </is>
      </c>
      <c r="C304" t="inlineStr">
        <is>
          <t>N/A</t>
        </is>
      </c>
      <c r="D304" t="inlineStr">
        <is>
          <t>N/A</t>
        </is>
      </c>
      <c r="E304" t="inlineStr">
        <is>
          <t>N/A</t>
        </is>
      </c>
      <c r="F304" t="inlineStr">
        <is>
          <t>N/A</t>
        </is>
      </c>
      <c r="G304" t="inlineStr">
        <is>
          <t>N/A</t>
        </is>
      </c>
      <c r="H304" t="inlineStr">
        <is>
          <t>N/A</t>
        </is>
      </c>
      <c r="I304" t="inlineStr">
        <is>
          <t>N/A</t>
        </is>
      </c>
      <c r="J304" t="inlineStr">
        <is>
          <t>N/A</t>
        </is>
      </c>
      <c r="K304" t="inlineStr">
        <is>
          <t>N/A</t>
        </is>
      </c>
      <c r="L304" t="inlineStr">
        <is>
          <t>N/A</t>
        </is>
      </c>
      <c r="M304" t="inlineStr">
        <is>
          <t>N/A</t>
        </is>
      </c>
      <c r="N304" t="inlineStr">
        <is>
          <t>N/A</t>
        </is>
      </c>
    </row>
    <row r="305">
      <c r="A305" t="inlineStr">
        <is>
          <t>R2</t>
        </is>
      </c>
      <c r="B305" t="inlineStr">
        <is>
          <t>Diverted plastic carbon</t>
        </is>
      </c>
      <c r="C305" t="inlineStr">
        <is>
          <t>D_p</t>
        </is>
      </c>
      <c r="D305" t="n">
        <v>17678</v>
      </c>
      <c r="E305" t="inlineStr">
        <is>
          <t>t-CO2/y</t>
        </is>
      </c>
      <c r="F305" t="inlineStr">
        <is>
          <t>already CO2</t>
        </is>
      </c>
      <c r="G305" t="inlineStr">
        <is>
          <t>t-CO2/y</t>
        </is>
      </c>
      <c r="H305" t="inlineStr">
        <is>
          <t>PLASTIC</t>
        </is>
      </c>
      <c r="I305" t="inlineStr">
        <is>
          <t>minus D_p x s_F under treatment A; zero under treatment B</t>
        </is>
      </c>
      <c r="J305" t="inlineStr">
        <is>
          <t>random through F</t>
        </is>
      </c>
      <c r="K305" t="inlineStr">
        <is>
          <t>pathway-specific</t>
        </is>
      </c>
      <c r="L305" t="inlineStr">
        <is>
          <t>A only</t>
        </is>
      </c>
      <c r="M305" t="inlineStr">
        <is>
          <t>-</t>
        </is>
      </c>
      <c r="N305" t="inlineStr">
        <is>
          <t>harmonised inventory</t>
        </is>
      </c>
    </row>
    <row r="306">
      <c r="A306" t="inlineStr">
        <is>
          <t>R2</t>
        </is>
      </c>
      <c r="B306" t="inlineStr">
        <is>
          <t>Permanent geological storage</t>
        </is>
      </c>
      <c r="C306" t="inlineStr">
        <is>
          <t>N/A</t>
        </is>
      </c>
      <c r="D306" t="inlineStr">
        <is>
          <t>N/A</t>
        </is>
      </c>
      <c r="E306" t="inlineStr">
        <is>
          <t>N/A</t>
        </is>
      </c>
      <c r="F306" t="inlineStr">
        <is>
          <t>N/A</t>
        </is>
      </c>
      <c r="G306" t="inlineStr">
        <is>
          <t>N/A</t>
        </is>
      </c>
      <c r="H306" t="inlineStr">
        <is>
          <t>N/A</t>
        </is>
      </c>
      <c r="I306" t="inlineStr">
        <is>
          <t>N/A</t>
        </is>
      </c>
      <c r="J306" t="inlineStr">
        <is>
          <t>N/A</t>
        </is>
      </c>
      <c r="K306" t="inlineStr">
        <is>
          <t>N/A</t>
        </is>
      </c>
      <c r="L306" t="inlineStr">
        <is>
          <t>N/A</t>
        </is>
      </c>
      <c r="M306" t="inlineStr">
        <is>
          <t>N/A</t>
        </is>
      </c>
      <c r="N306" t="inlineStr">
        <is>
          <t>N/A</t>
        </is>
      </c>
    </row>
    <row r="307">
      <c r="A307" t="inlineStr">
        <is>
          <t>R2</t>
        </is>
      </c>
      <c r="B307" t="inlineStr">
        <is>
          <t>Temporary product storage</t>
        </is>
      </c>
      <c r="C307" t="inlineStr">
        <is>
          <t>tau_50, k</t>
        </is>
      </c>
      <c r="D307" t="inlineStr">
        <is>
          <t>applies</t>
        </is>
      </c>
      <c r="E307" t="inlineStr">
        <is>
          <t>y</t>
        </is>
      </c>
      <c r="F307" t="inlineStr">
        <is>
          <t>Weibull</t>
        </is>
      </c>
      <c r="G307" t="inlineStr">
        <is>
          <t>t-CO2/y</t>
        </is>
      </c>
      <c r="H307" t="inlineStr">
        <is>
          <t>not included</t>
        </is>
      </c>
      <c r="I307" t="inlineStr">
        <is>
          <t>enters the dynamic climate layer only; the static balance is time-independent</t>
        </is>
      </c>
      <c r="J307" t="inlineStr">
        <is>
          <t>deterministic</t>
        </is>
      </c>
      <c r="K307" t="inlineStr">
        <is>
          <t>pathway-specific</t>
        </is>
      </c>
      <c r="L307" t="inlineStr">
        <is>
          <t>none</t>
        </is>
      </c>
      <c r="M307" t="inlineStr">
        <is>
          <t>n/a</t>
        </is>
      </c>
      <c r="N307" t="inlineStr">
        <is>
          <t>Table 1 (main text)</t>
        </is>
      </c>
    </row>
    <row r="308">
      <c r="A308" t="inlineStr">
        <is>
          <t>R2</t>
        </is>
      </c>
      <c r="B308" t="inlineStr">
        <is>
          <t>Final atmospheric release</t>
        </is>
      </c>
      <c r="C308" t="inlineStr">
        <is>
          <t>E_product,f</t>
        </is>
      </c>
      <c r="D308" t="inlineStr">
        <is>
          <t>applies</t>
        </is>
      </c>
      <c r="E308" t="inlineStr">
        <is>
          <t>t-CO2/y</t>
        </is>
      </c>
      <c r="F308" t="inlineStr">
        <is>
          <t>already CO2</t>
        </is>
      </c>
      <c r="G308" t="inlineStr">
        <is>
          <t>t-CO2/y</t>
        </is>
      </c>
      <c r="H308" t="inlineStr">
        <is>
          <t>CARBON</t>
        </is>
      </c>
      <c r="I308" t="inlineStr">
        <is>
          <t>accounted through the QB charge (utilization) or D_p (recycling); the deferred release of U2b enters the dynamic layer</t>
        </is>
      </c>
      <c r="J308" t="inlineStr">
        <is>
          <t>random</t>
        </is>
      </c>
      <c r="K308" t="inlineStr">
        <is>
          <t>pathway-specific</t>
        </is>
      </c>
      <c r="L308" t="inlineStr">
        <is>
          <t>A/B for recycling</t>
        </is>
      </c>
      <c r="M308" t="inlineStr">
        <is>
          <t>+</t>
        </is>
      </c>
      <c r="N308" t="inlineStr">
        <is>
          <t>model</t>
        </is>
      </c>
    </row>
    <row r="309">
      <c r="A309" t="inlineStr">
        <is>
          <t>R2</t>
        </is>
      </c>
      <c r="B309" t="inlineStr">
        <is>
          <t>Capture solvent burden (R1 explicit)</t>
        </is>
      </c>
      <c r="C309" t="inlineStr">
        <is>
          <t>N/A</t>
        </is>
      </c>
      <c r="D309" t="inlineStr">
        <is>
          <t>N/A</t>
        </is>
      </c>
      <c r="E309" t="inlineStr">
        <is>
          <t>N/A</t>
        </is>
      </c>
      <c r="F309" t="inlineStr">
        <is>
          <t>N/A</t>
        </is>
      </c>
      <c r="G309" t="inlineStr">
        <is>
          <t>N/A</t>
        </is>
      </c>
      <c r="H309" t="inlineStr">
        <is>
          <t>N/A</t>
        </is>
      </c>
      <c r="I309" t="inlineStr">
        <is>
          <t>N/A</t>
        </is>
      </c>
      <c r="J309" t="inlineStr">
        <is>
          <t>N/A</t>
        </is>
      </c>
      <c r="K309" t="inlineStr">
        <is>
          <t>N/A</t>
        </is>
      </c>
      <c r="L309" t="inlineStr">
        <is>
          <t>N/A</t>
        </is>
      </c>
      <c r="M309" t="inlineStr">
        <is>
          <t>N/A</t>
        </is>
      </c>
      <c r="N309" t="inlineStr">
        <is>
          <t>N/A</t>
        </is>
      </c>
    </row>
    <row r="310">
      <c r="A310" t="inlineStr">
        <is>
          <t>R2</t>
        </is>
      </c>
      <c r="B310" t="inlineStr">
        <is>
          <t>Transport (R1 explicit: CO2 to storage / ore / slag / CO2 to synthesis)</t>
        </is>
      </c>
      <c r="C310" t="inlineStr">
        <is>
          <t>N/A</t>
        </is>
      </c>
      <c r="D310" t="inlineStr">
        <is>
          <t>N/A</t>
        </is>
      </c>
      <c r="E310" t="inlineStr">
        <is>
          <t>N/A</t>
        </is>
      </c>
      <c r="F310" t="inlineStr">
        <is>
          <t>N/A</t>
        </is>
      </c>
      <c r="G310" t="inlineStr">
        <is>
          <t>N/A</t>
        </is>
      </c>
      <c r="H310" t="inlineStr">
        <is>
          <t>N/A</t>
        </is>
      </c>
      <c r="I310" t="inlineStr">
        <is>
          <t>N/A</t>
        </is>
      </c>
      <c r="J310" t="inlineStr">
        <is>
          <t>N/A</t>
        </is>
      </c>
      <c r="K310" t="inlineStr">
        <is>
          <t>N/A</t>
        </is>
      </c>
      <c r="L310" t="inlineStr">
        <is>
          <t>N/A</t>
        </is>
      </c>
      <c r="M310" t="inlineStr">
        <is>
          <t>N/A</t>
        </is>
      </c>
      <c r="N310" t="inlineStr">
        <is>
          <t>N/A</t>
        </is>
      </c>
    </row>
    <row r="311">
      <c r="A311" t="inlineStr">
        <is>
          <t>R2</t>
        </is>
      </c>
      <c r="B311" t="inlineStr">
        <is>
          <t>Product transport</t>
        </is>
      </c>
      <c r="C311" t="inlineStr">
        <is>
          <t>Tr_prod</t>
        </is>
      </c>
      <c r="D311" t="inlineStr">
        <is>
          <t>inside residual</t>
        </is>
      </c>
      <c r="E311" t="inlineStr">
        <is>
          <t>t-CO2/y</t>
        </is>
      </c>
      <c r="F311" t="inlineStr">
        <is>
          <t>already CO2</t>
        </is>
      </c>
      <c r="G311" t="inlineStr">
        <is>
          <t>t-CO2/y</t>
        </is>
      </c>
      <c r="H311" t="inlineStr">
        <is>
          <t>RESIDUAL</t>
        </is>
      </c>
      <c r="I311" t="inlineStr">
        <is>
          <t>held at its national value, x m_rem</t>
        </is>
      </c>
      <c r="J311" t="inlineStr">
        <is>
          <t>random through m_rem</t>
        </is>
      </c>
      <c r="K311" t="inlineStr">
        <is>
          <t>pathway-specific</t>
        </is>
      </c>
      <c r="L311" t="inlineStr">
        <is>
          <t>none</t>
        </is>
      </c>
      <c r="M311" t="inlineStr">
        <is>
          <t>+</t>
        </is>
      </c>
      <c r="N311" t="inlineStr">
        <is>
          <t>calibrated remainder</t>
        </is>
      </c>
    </row>
    <row r="312">
      <c r="A312" t="inlineStr">
        <is>
          <t>R2</t>
        </is>
      </c>
      <c r="B312" t="inlineStr">
        <is>
          <t>Capital-related burdens</t>
        </is>
      </c>
      <c r="C312" t="inlineStr">
        <is>
          <t>C_cap</t>
        </is>
      </c>
      <c r="D312" t="inlineStr">
        <is>
          <t>inside residual</t>
        </is>
      </c>
      <c r="E312" t="inlineStr">
        <is>
          <t>t-CO2/y</t>
        </is>
      </c>
      <c r="F312" t="inlineStr">
        <is>
          <t>annualised</t>
        </is>
      </c>
      <c r="G312" t="inlineStr">
        <is>
          <t>t-CO2/y</t>
        </is>
      </c>
      <c r="H312" t="inlineStr">
        <is>
          <t>RESIDUAL</t>
        </is>
      </c>
      <c r="I312" t="inlineStr">
        <is>
          <t>annualised, held at its national value, x m_rem</t>
        </is>
      </c>
      <c r="J312" t="inlineStr">
        <is>
          <t>random through m_rem</t>
        </is>
      </c>
      <c r="K312" t="inlineStr">
        <is>
          <t>pathway-specific</t>
        </is>
      </c>
      <c r="L312" t="inlineStr">
        <is>
          <t>none</t>
        </is>
      </c>
      <c r="M312" t="inlineStr">
        <is>
          <t>+</t>
        </is>
      </c>
      <c r="N312" t="inlineStr">
        <is>
          <t>calibrated remainder</t>
        </is>
      </c>
    </row>
    <row r="313">
      <c r="A313" t="inlineStr">
        <is>
          <t>R2</t>
        </is>
      </c>
      <c r="B313" t="inlineStr">
        <is>
          <t>Calibrated residual, total</t>
        </is>
      </c>
      <c r="C313" t="inlineStr">
        <is>
          <t>C_p</t>
        </is>
      </c>
      <c r="D313" t="n">
        <v>-8639.02</v>
      </c>
      <c r="E313" t="inlineStr">
        <is>
          <t>t-CO2/y</t>
        </is>
      </c>
      <c r="F313" t="inlineStr">
        <is>
          <t>already CO2</t>
        </is>
      </c>
      <c r="G313" t="inlineStr">
        <is>
          <t>t-CO2/y</t>
        </is>
      </c>
      <c r="H313" t="inlineStr">
        <is>
          <t>RESIDUAL</t>
        </is>
      </c>
      <c r="I313" t="inlineStr">
        <is>
          <t>C_p x m_rem</t>
        </is>
      </c>
      <c r="J313" t="inlineStr">
        <is>
          <t>random through m_rem</t>
        </is>
      </c>
      <c r="K313" t="inlineStr">
        <is>
          <t>pathway-specific</t>
        </is>
      </c>
      <c r="L313" t="inlineStr">
        <is>
          <t>shifts with the anchor under B</t>
        </is>
      </c>
      <c r="M313" t="inlineStr">
        <is>
          <t>+/-</t>
        </is>
      </c>
      <c r="N313" t="inlineStr">
        <is>
          <t>verified national value minus the explicit groups</t>
        </is>
      </c>
    </row>
    <row r="314">
      <c r="A314" t="inlineStr">
        <is>
          <t>R3</t>
        </is>
      </c>
      <c r="B314" t="inlineStr">
        <is>
          <t>Plant auxiliary electricity</t>
        </is>
      </c>
      <c r="C314" t="inlineStr">
        <is>
          <t>E_aux</t>
        </is>
      </c>
      <c r="D314" t="n">
        <v>24360</v>
      </c>
      <c r="E314" t="inlineStr">
        <is>
          <t>MWh/y</t>
        </is>
      </c>
      <c r="F314" t="inlineStr">
        <is>
          <t>EF</t>
        </is>
      </c>
      <c r="G314" t="inlineStr">
        <is>
          <t>t-CO2/y</t>
        </is>
      </c>
      <c r="H314" t="inlineStr">
        <is>
          <t>FIXED</t>
        </is>
      </c>
      <c r="I314" t="inlineStr">
        <is>
          <t>E_aux x EF</t>
        </is>
      </c>
      <c r="J314" t="inlineStr">
        <is>
          <t>random through EF</t>
        </is>
      </c>
      <c r="K314" t="inlineStr">
        <is>
          <t>EF shared by all pathways</t>
        </is>
      </c>
      <c r="L314" t="inlineStr">
        <is>
          <t>none</t>
        </is>
      </c>
      <c r="M314" t="inlineStr">
        <is>
          <t>+</t>
        </is>
      </c>
      <c r="N314" t="inlineStr">
        <is>
          <t>harmonised inventory</t>
        </is>
      </c>
    </row>
    <row r="315">
      <c r="A315" t="inlineStr">
        <is>
          <t>R3</t>
        </is>
      </c>
      <c r="B315" t="inlineStr">
        <is>
          <t>Baseline electricity export</t>
        </is>
      </c>
      <c r="C315" t="inlineStr">
        <is>
          <t>E_exp_base</t>
        </is>
      </c>
      <c r="D315" t="n">
        <v>-43207</v>
      </c>
      <c r="E315" t="inlineStr">
        <is>
          <t>MWh/y</t>
        </is>
      </c>
      <c r="F315" t="inlineStr">
        <is>
          <t>EF</t>
        </is>
      </c>
      <c r="G315" t="inlineStr">
        <is>
          <t>t-CO2/y</t>
        </is>
      </c>
      <c r="H315" t="inlineStr">
        <is>
          <t>FIXED</t>
        </is>
      </c>
      <c r="I315" t="inlineStr">
        <is>
          <t>minus E_exp_base x EF</t>
        </is>
      </c>
      <c r="J315" t="inlineStr">
        <is>
          <t>random through EF</t>
        </is>
      </c>
      <c r="K315" t="inlineStr">
        <is>
          <t>EF shared by all pathways</t>
        </is>
      </c>
      <c r="L315" t="inlineStr">
        <is>
          <t>none</t>
        </is>
      </c>
      <c r="M315" t="inlineStr">
        <is>
          <t>-</t>
        </is>
      </c>
      <c r="N315" t="inlineStr">
        <is>
          <t>harmonised inventory</t>
        </is>
      </c>
    </row>
    <row r="316">
      <c r="A316" t="inlineStr">
        <is>
          <t>R3</t>
        </is>
      </c>
      <c r="B316" t="inlineStr">
        <is>
          <t>Steam generation burden</t>
        </is>
      </c>
      <c r="C316" t="inlineStr">
        <is>
          <t>n/a</t>
        </is>
      </c>
      <c r="D316" t="inlineStr">
        <is>
          <t>not separate</t>
        </is>
      </c>
      <c r="E316" t="inlineStr">
        <is>
          <t>MWh/y</t>
        </is>
      </c>
      <c r="F316" t="inlineStr">
        <is>
          <t>n/a</t>
        </is>
      </c>
      <c r="G316" t="inlineStr">
        <is>
          <t>t-CO2/y</t>
        </is>
      </c>
      <c r="H316" t="inlineStr">
        <is>
          <t>FIXED</t>
        </is>
      </c>
      <c r="I316" t="inlineStr">
        <is>
          <t>inside E_exp_base; same waste tonnage in every region</t>
        </is>
      </c>
      <c r="J316" t="inlineStr">
        <is>
          <t>deterministic</t>
        </is>
      </c>
      <c r="K316" t="inlineStr">
        <is>
          <t>shared by all pathways</t>
        </is>
      </c>
      <c r="L316" t="inlineStr">
        <is>
          <t>none</t>
        </is>
      </c>
      <c r="M316" t="inlineStr">
        <is>
          <t>n/a</t>
        </is>
      </c>
      <c r="N316" t="inlineStr">
        <is>
          <t>harmonised inventory</t>
        </is>
      </c>
    </row>
    <row r="317">
      <c r="A317" t="inlineStr">
        <is>
          <t>R3</t>
        </is>
      </c>
      <c r="B317" t="inlineStr">
        <is>
          <t>Steam-extraction export penalty</t>
        </is>
      </c>
      <c r="C317" t="inlineStr">
        <is>
          <t>N/A</t>
        </is>
      </c>
      <c r="D317" t="inlineStr">
        <is>
          <t>N/A</t>
        </is>
      </c>
      <c r="E317" t="inlineStr">
        <is>
          <t>N/A</t>
        </is>
      </c>
      <c r="F317" t="inlineStr">
        <is>
          <t>N/A</t>
        </is>
      </c>
      <c r="G317" t="inlineStr">
        <is>
          <t>N/A</t>
        </is>
      </c>
      <c r="H317" t="inlineStr">
        <is>
          <t>N/A</t>
        </is>
      </c>
      <c r="I317" t="inlineStr">
        <is>
          <t>N/A</t>
        </is>
      </c>
      <c r="J317" t="inlineStr">
        <is>
          <t>N/A</t>
        </is>
      </c>
      <c r="K317" t="inlineStr">
        <is>
          <t>N/A</t>
        </is>
      </c>
      <c r="L317" t="inlineStr">
        <is>
          <t>N/A</t>
        </is>
      </c>
      <c r="M317" t="inlineStr">
        <is>
          <t>N/A</t>
        </is>
      </c>
      <c r="N317" t="inlineStr">
        <is>
          <t>N/A</t>
        </is>
      </c>
    </row>
    <row r="318">
      <c r="A318" t="inlineStr">
        <is>
          <t>R3</t>
        </is>
      </c>
      <c r="B318" t="inlineStr">
        <is>
          <t>Capture electricity</t>
        </is>
      </c>
      <c r="C318" t="inlineStr">
        <is>
          <t>N/A</t>
        </is>
      </c>
      <c r="D318" t="inlineStr">
        <is>
          <t>N/A</t>
        </is>
      </c>
      <c r="E318" t="inlineStr">
        <is>
          <t>N/A</t>
        </is>
      </c>
      <c r="F318" t="inlineStr">
        <is>
          <t>N/A</t>
        </is>
      </c>
      <c r="G318" t="inlineStr">
        <is>
          <t>N/A</t>
        </is>
      </c>
      <c r="H318" t="inlineStr">
        <is>
          <t>N/A</t>
        </is>
      </c>
      <c r="I318" t="inlineStr">
        <is>
          <t>N/A</t>
        </is>
      </c>
      <c r="J318" t="inlineStr">
        <is>
          <t>N/A</t>
        </is>
      </c>
      <c r="K318" t="inlineStr">
        <is>
          <t>N/A</t>
        </is>
      </c>
      <c r="L318" t="inlineStr">
        <is>
          <t>N/A</t>
        </is>
      </c>
      <c r="M318" t="inlineStr">
        <is>
          <t>N/A</t>
        </is>
      </c>
      <c r="N318" t="inlineStr">
        <is>
          <t>N/A</t>
        </is>
      </c>
    </row>
    <row r="319">
      <c r="A319" t="inlineStr">
        <is>
          <t>R3</t>
        </is>
      </c>
      <c r="B319" t="inlineStr">
        <is>
          <t>CO2 compression electricity</t>
        </is>
      </c>
      <c r="C319" t="inlineStr">
        <is>
          <t>N/A</t>
        </is>
      </c>
      <c r="D319" t="inlineStr">
        <is>
          <t>N/A</t>
        </is>
      </c>
      <c r="E319" t="inlineStr">
        <is>
          <t>N/A</t>
        </is>
      </c>
      <c r="F319" t="inlineStr">
        <is>
          <t>N/A</t>
        </is>
      </c>
      <c r="G319" t="inlineStr">
        <is>
          <t>N/A</t>
        </is>
      </c>
      <c r="H319" t="inlineStr">
        <is>
          <t>N/A</t>
        </is>
      </c>
      <c r="I319" t="inlineStr">
        <is>
          <t>N/A</t>
        </is>
      </c>
      <c r="J319" t="inlineStr">
        <is>
          <t>N/A</t>
        </is>
      </c>
      <c r="K319" t="inlineStr">
        <is>
          <t>N/A</t>
        </is>
      </c>
      <c r="L319" t="inlineStr">
        <is>
          <t>N/A</t>
        </is>
      </c>
      <c r="M319" t="inlineStr">
        <is>
          <t>N/A</t>
        </is>
      </c>
      <c r="N319" t="inlineStr">
        <is>
          <t>N/A</t>
        </is>
      </c>
    </row>
    <row r="320">
      <c r="A320" t="inlineStr">
        <is>
          <t>R3</t>
        </is>
      </c>
      <c r="B320" t="inlineStr">
        <is>
          <t>Conversion electricity</t>
        </is>
      </c>
      <c r="C320" t="inlineStr">
        <is>
          <t>N/A</t>
        </is>
      </c>
      <c r="D320" t="inlineStr">
        <is>
          <t>N/A</t>
        </is>
      </c>
      <c r="E320" t="inlineStr">
        <is>
          <t>N/A</t>
        </is>
      </c>
      <c r="F320" t="inlineStr">
        <is>
          <t>N/A</t>
        </is>
      </c>
      <c r="G320" t="inlineStr">
        <is>
          <t>N/A</t>
        </is>
      </c>
      <c r="H320" t="inlineStr">
        <is>
          <t>N/A</t>
        </is>
      </c>
      <c r="I320" t="inlineStr">
        <is>
          <t>N/A</t>
        </is>
      </c>
      <c r="J320" t="inlineStr">
        <is>
          <t>N/A</t>
        </is>
      </c>
      <c r="K320" t="inlineStr">
        <is>
          <t>N/A</t>
        </is>
      </c>
      <c r="L320" t="inlineStr">
        <is>
          <t>N/A</t>
        </is>
      </c>
      <c r="M320" t="inlineStr">
        <is>
          <t>N/A</t>
        </is>
      </c>
      <c r="N320" t="inlineStr">
        <is>
          <t>N/A</t>
        </is>
      </c>
    </row>
    <row r="321">
      <c r="A321" t="inlineStr">
        <is>
          <t>R3</t>
        </is>
      </c>
      <c r="B321" t="inlineStr">
        <is>
          <t>Total capture, compression and conversion electricity</t>
        </is>
      </c>
      <c r="C321" t="inlineStr">
        <is>
          <t>N/A</t>
        </is>
      </c>
      <c r="D321" t="inlineStr">
        <is>
          <t>N/A</t>
        </is>
      </c>
      <c r="E321" t="inlineStr">
        <is>
          <t>N/A</t>
        </is>
      </c>
      <c r="F321" t="inlineStr">
        <is>
          <t>N/A</t>
        </is>
      </c>
      <c r="G321" t="inlineStr">
        <is>
          <t>N/A</t>
        </is>
      </c>
      <c r="H321" t="inlineStr">
        <is>
          <t>N/A</t>
        </is>
      </c>
      <c r="I321" t="inlineStr">
        <is>
          <t>N/A</t>
        </is>
      </c>
      <c r="J321" t="inlineStr">
        <is>
          <t>N/A</t>
        </is>
      </c>
      <c r="K321" t="inlineStr">
        <is>
          <t>N/A</t>
        </is>
      </c>
      <c r="L321" t="inlineStr">
        <is>
          <t>N/A</t>
        </is>
      </c>
      <c r="M321" t="inlineStr">
        <is>
          <t>N/A</t>
        </is>
      </c>
      <c r="N321" t="inlineStr">
        <is>
          <t>N/A</t>
        </is>
      </c>
    </row>
    <row r="322">
      <c r="A322" t="inlineStr">
        <is>
          <t>R3</t>
        </is>
      </c>
      <c r="B322" t="inlineStr">
        <is>
          <t>Pyrolysis electricity</t>
        </is>
      </c>
      <c r="C322" t="inlineStr">
        <is>
          <t>E_proc</t>
        </is>
      </c>
      <c r="D322" t="n">
        <v>780.2033898305085</v>
      </c>
      <c r="E322" t="inlineStr">
        <is>
          <t>MWh/y</t>
        </is>
      </c>
      <c r="F322" t="inlineStr">
        <is>
          <t>EF</t>
        </is>
      </c>
      <c r="G322" t="inlineStr">
        <is>
          <t>t-CO2/y</t>
        </is>
      </c>
      <c r="H322" t="inlineStr">
        <is>
          <t>PLASTIC</t>
        </is>
      </c>
      <c r="I322" t="inlineStr">
        <is>
          <t>E_proc x s_F x EF x m_el</t>
        </is>
      </c>
      <c r="J322" t="inlineStr">
        <is>
          <t>random</t>
        </is>
      </c>
      <c r="K322" t="inlineStr">
        <is>
          <t>m_el shared within family</t>
        </is>
      </c>
      <c r="L322" t="inlineStr">
        <is>
          <t>none</t>
        </is>
      </c>
      <c r="M322" t="inlineStr">
        <is>
          <t>+</t>
        </is>
      </c>
      <c r="N322" t="inlineStr">
        <is>
          <t>harmonised inventory</t>
        </is>
      </c>
    </row>
    <row r="323">
      <c r="A323" t="inlineStr">
        <is>
          <t>R3</t>
        </is>
      </c>
      <c r="B323" t="inlineStr">
        <is>
          <t>Hydrogen demand</t>
        </is>
      </c>
      <c r="C323" t="inlineStr">
        <is>
          <t>N/A</t>
        </is>
      </c>
      <c r="D323" t="inlineStr">
        <is>
          <t>N/A</t>
        </is>
      </c>
      <c r="E323" t="inlineStr">
        <is>
          <t>N/A</t>
        </is>
      </c>
      <c r="F323" t="inlineStr">
        <is>
          <t>N/A</t>
        </is>
      </c>
      <c r="G323" t="inlineStr">
        <is>
          <t>N/A</t>
        </is>
      </c>
      <c r="H323" t="inlineStr">
        <is>
          <t>N/A</t>
        </is>
      </c>
      <c r="I323" t="inlineStr">
        <is>
          <t>N/A</t>
        </is>
      </c>
      <c r="J323" t="inlineStr">
        <is>
          <t>N/A</t>
        </is>
      </c>
      <c r="K323" t="inlineStr">
        <is>
          <t>N/A</t>
        </is>
      </c>
      <c r="L323" t="inlineStr">
        <is>
          <t>N/A</t>
        </is>
      </c>
      <c r="M323" t="inlineStr">
        <is>
          <t>N/A</t>
        </is>
      </c>
      <c r="N323" t="inlineStr">
        <is>
          <t>N/A</t>
        </is>
      </c>
    </row>
    <row r="324">
      <c r="A324" t="inlineStr">
        <is>
          <t>R3</t>
        </is>
      </c>
      <c r="B324" t="inlineStr">
        <is>
          <t>Direct fossil-carbon emission</t>
        </is>
      </c>
      <c r="C324" t="inlineStr">
        <is>
          <t>F</t>
        </is>
      </c>
      <c r="D324" t="n">
        <v>26475.1872</v>
      </c>
      <c r="E324" t="inlineStr">
        <is>
          <t>t-CO2/y</t>
        </is>
      </c>
      <c r="F324" t="inlineStr">
        <is>
          <t>already CO2</t>
        </is>
      </c>
      <c r="G324" t="inlineStr">
        <is>
          <t>t-CO2/y</t>
        </is>
      </c>
      <c r="H324" t="inlineStr">
        <is>
          <t>CARBON</t>
        </is>
      </c>
      <c r="I324" t="inlineStr">
        <is>
          <t>enters phi; see the carbon-flow rows below</t>
        </is>
      </c>
      <c r="J324" t="inlineStr">
        <is>
          <t>random</t>
        </is>
      </c>
      <c r="K324" t="inlineStr">
        <is>
          <t>F shared by all pathways</t>
        </is>
      </c>
      <c r="L324" t="inlineStr">
        <is>
          <t>none</t>
        </is>
      </c>
      <c r="M324" t="inlineStr">
        <is>
          <t>+</t>
        </is>
      </c>
      <c r="N324" t="inlineStr">
        <is>
          <t>national waste survey</t>
        </is>
      </c>
    </row>
    <row r="325">
      <c r="A325" t="inlineStr">
        <is>
          <t>R3</t>
        </is>
      </c>
      <c r="B325" t="inlineStr">
        <is>
          <t>Uncaptured fossil fraction</t>
        </is>
      </c>
      <c r="C325" t="inlineStr">
        <is>
          <t>N/A</t>
        </is>
      </c>
      <c r="D325" t="inlineStr">
        <is>
          <t>N/A</t>
        </is>
      </c>
      <c r="E325" t="inlineStr">
        <is>
          <t>N/A</t>
        </is>
      </c>
      <c r="F325" t="inlineStr">
        <is>
          <t>N/A</t>
        </is>
      </c>
      <c r="G325" t="inlineStr">
        <is>
          <t>N/A</t>
        </is>
      </c>
      <c r="H325" t="inlineStr">
        <is>
          <t>N/A</t>
        </is>
      </c>
      <c r="I325" t="inlineStr">
        <is>
          <t>N/A</t>
        </is>
      </c>
      <c r="J325" t="inlineStr">
        <is>
          <t>N/A</t>
        </is>
      </c>
      <c r="K325" t="inlineStr">
        <is>
          <t>N/A</t>
        </is>
      </c>
      <c r="L325" t="inlineStr">
        <is>
          <t>N/A</t>
        </is>
      </c>
      <c r="M325" t="inlineStr">
        <is>
          <t>N/A</t>
        </is>
      </c>
      <c r="N325" t="inlineStr">
        <is>
          <t>N/A</t>
        </is>
      </c>
    </row>
    <row r="326">
      <c r="A326" t="inlineStr">
        <is>
          <t>R3</t>
        </is>
      </c>
      <c r="B326" t="inlineStr">
        <is>
          <t>Mineralization reactor loss</t>
        </is>
      </c>
      <c r="C326" t="inlineStr">
        <is>
          <t>N/A</t>
        </is>
      </c>
      <c r="D326" t="inlineStr">
        <is>
          <t>N/A</t>
        </is>
      </c>
      <c r="E326" t="inlineStr">
        <is>
          <t>N/A</t>
        </is>
      </c>
      <c r="F326" t="inlineStr">
        <is>
          <t>N/A</t>
        </is>
      </c>
      <c r="G326" t="inlineStr">
        <is>
          <t>N/A</t>
        </is>
      </c>
      <c r="H326" t="inlineStr">
        <is>
          <t>N/A</t>
        </is>
      </c>
      <c r="I326" t="inlineStr">
        <is>
          <t>N/A</t>
        </is>
      </c>
      <c r="J326" t="inlineStr">
        <is>
          <t>N/A</t>
        </is>
      </c>
      <c r="K326" t="inlineStr">
        <is>
          <t>N/A</t>
        </is>
      </c>
      <c r="L326" t="inlineStr">
        <is>
          <t>N/A</t>
        </is>
      </c>
      <c r="M326" t="inlineStr">
        <is>
          <t>N/A</t>
        </is>
      </c>
      <c r="N326" t="inlineStr">
        <is>
          <t>N/A</t>
        </is>
      </c>
    </row>
    <row r="327">
      <c r="A327" t="inlineStr">
        <is>
          <t>R3</t>
        </is>
      </c>
      <c r="B327" t="inlineStr">
        <is>
          <t>CCU process vent</t>
        </is>
      </c>
      <c r="C327" t="inlineStr">
        <is>
          <t>N/A</t>
        </is>
      </c>
      <c r="D327" t="inlineStr">
        <is>
          <t>N/A</t>
        </is>
      </c>
      <c r="E327" t="inlineStr">
        <is>
          <t>N/A</t>
        </is>
      </c>
      <c r="F327" t="inlineStr">
        <is>
          <t>N/A</t>
        </is>
      </c>
      <c r="G327" t="inlineStr">
        <is>
          <t>N/A</t>
        </is>
      </c>
      <c r="H327" t="inlineStr">
        <is>
          <t>N/A</t>
        </is>
      </c>
      <c r="I327" t="inlineStr">
        <is>
          <t>N/A</t>
        </is>
      </c>
      <c r="J327" t="inlineStr">
        <is>
          <t>N/A</t>
        </is>
      </c>
      <c r="K327" t="inlineStr">
        <is>
          <t>N/A</t>
        </is>
      </c>
      <c r="L327" t="inlineStr">
        <is>
          <t>N/A</t>
        </is>
      </c>
      <c r="M327" t="inlineStr">
        <is>
          <t>N/A</t>
        </is>
      </c>
      <c r="N327" t="inlineStr">
        <is>
          <t>N/A</t>
        </is>
      </c>
    </row>
    <row r="328">
      <c r="A328" t="inlineStr">
        <is>
          <t>R3</t>
        </is>
      </c>
      <c r="B328" t="inlineStr">
        <is>
          <t>Product output</t>
        </is>
      </c>
      <c r="C328" t="inlineStr">
        <is>
          <t>N/A</t>
        </is>
      </c>
      <c r="D328" t="inlineStr">
        <is>
          <t>N/A</t>
        </is>
      </c>
      <c r="E328" t="inlineStr">
        <is>
          <t>N/A</t>
        </is>
      </c>
      <c r="F328" t="inlineStr">
        <is>
          <t>N/A</t>
        </is>
      </c>
      <c r="G328" t="inlineStr">
        <is>
          <t>N/A</t>
        </is>
      </c>
      <c r="H328" t="inlineStr">
        <is>
          <t>N/A</t>
        </is>
      </c>
      <c r="I328" t="inlineStr">
        <is>
          <t>N/A</t>
        </is>
      </c>
      <c r="J328" t="inlineStr">
        <is>
          <t>N/A</t>
        </is>
      </c>
      <c r="K328" t="inlineStr">
        <is>
          <t>N/A</t>
        </is>
      </c>
      <c r="L328" t="inlineStr">
        <is>
          <t>N/A</t>
        </is>
      </c>
      <c r="M328" t="inlineStr">
        <is>
          <t>N/A</t>
        </is>
      </c>
      <c r="N328" t="inlineStr">
        <is>
          <t>N/A</t>
        </is>
      </c>
    </row>
    <row r="329">
      <c r="A329" t="inlineStr">
        <is>
          <t>R3</t>
        </is>
      </c>
      <c r="B329" t="inlineStr">
        <is>
          <t>Displaced-product burden (cradle-to-grave)</t>
        </is>
      </c>
      <c r="C329" t="inlineStr">
        <is>
          <t>N/A</t>
        </is>
      </c>
      <c r="D329" t="inlineStr">
        <is>
          <t>N/A</t>
        </is>
      </c>
      <c r="E329" t="inlineStr">
        <is>
          <t>N/A</t>
        </is>
      </c>
      <c r="F329" t="inlineStr">
        <is>
          <t>N/A</t>
        </is>
      </c>
      <c r="G329" t="inlineStr">
        <is>
          <t>N/A</t>
        </is>
      </c>
      <c r="H329" t="inlineStr">
        <is>
          <t>N/A</t>
        </is>
      </c>
      <c r="I329" t="inlineStr">
        <is>
          <t>N/A</t>
        </is>
      </c>
      <c r="J329" t="inlineStr">
        <is>
          <t>N/A</t>
        </is>
      </c>
      <c r="K329" t="inlineStr">
        <is>
          <t>N/A</t>
        </is>
      </c>
      <c r="L329" t="inlineStr">
        <is>
          <t>N/A</t>
        </is>
      </c>
      <c r="M329" t="inlineStr">
        <is>
          <t>N/A</t>
        </is>
      </c>
      <c r="N329" t="inlineStr">
        <is>
          <t>N/A</t>
        </is>
      </c>
    </row>
    <row r="330">
      <c r="A330" t="inlineStr">
        <is>
          <t>R3</t>
        </is>
      </c>
      <c r="B330" t="inlineStr">
        <is>
          <t>Product fossil-combustion charge</t>
        </is>
      </c>
      <c r="C330" t="inlineStr">
        <is>
          <t>N/A</t>
        </is>
      </c>
      <c r="D330" t="inlineStr">
        <is>
          <t>N/A</t>
        </is>
      </c>
      <c r="E330" t="inlineStr">
        <is>
          <t>N/A</t>
        </is>
      </c>
      <c r="F330" t="inlineStr">
        <is>
          <t>N/A</t>
        </is>
      </c>
      <c r="G330" t="inlineStr">
        <is>
          <t>N/A</t>
        </is>
      </c>
      <c r="H330" t="inlineStr">
        <is>
          <t>N/A</t>
        </is>
      </c>
      <c r="I330" t="inlineStr">
        <is>
          <t>N/A</t>
        </is>
      </c>
      <c r="J330" t="inlineStr">
        <is>
          <t>N/A</t>
        </is>
      </c>
      <c r="K330" t="inlineStr">
        <is>
          <t>N/A</t>
        </is>
      </c>
      <c r="L330" t="inlineStr">
        <is>
          <t>N/A</t>
        </is>
      </c>
      <c r="M330" t="inlineStr">
        <is>
          <t>N/A</t>
        </is>
      </c>
      <c r="N330" t="inlineStr">
        <is>
          <t>N/A</t>
        </is>
      </c>
    </row>
    <row r="331">
      <c r="A331" t="inlineStr">
        <is>
          <t>R3</t>
        </is>
      </c>
      <c r="B331" t="inlineStr">
        <is>
          <t>Diverted plastic carbon</t>
        </is>
      </c>
      <c r="C331" t="inlineStr">
        <is>
          <t>D_p</t>
        </is>
      </c>
      <c r="D331" t="n">
        <v>17650</v>
      </c>
      <c r="E331" t="inlineStr">
        <is>
          <t>t-CO2/y</t>
        </is>
      </c>
      <c r="F331" t="inlineStr">
        <is>
          <t>already CO2</t>
        </is>
      </c>
      <c r="G331" t="inlineStr">
        <is>
          <t>t-CO2/y</t>
        </is>
      </c>
      <c r="H331" t="inlineStr">
        <is>
          <t>PLASTIC</t>
        </is>
      </c>
      <c r="I331" t="inlineStr">
        <is>
          <t>minus D_p x s_F under treatment A; zero under treatment B</t>
        </is>
      </c>
      <c r="J331" t="inlineStr">
        <is>
          <t>random through F</t>
        </is>
      </c>
      <c r="K331" t="inlineStr">
        <is>
          <t>pathway-specific</t>
        </is>
      </c>
      <c r="L331" t="inlineStr">
        <is>
          <t>A only</t>
        </is>
      </c>
      <c r="M331" t="inlineStr">
        <is>
          <t>-</t>
        </is>
      </c>
      <c r="N331" t="inlineStr">
        <is>
          <t>harmonised inventory</t>
        </is>
      </c>
    </row>
    <row r="332">
      <c r="A332" t="inlineStr">
        <is>
          <t>R3</t>
        </is>
      </c>
      <c r="B332" t="inlineStr">
        <is>
          <t>Permanent geological storage</t>
        </is>
      </c>
      <c r="C332" t="inlineStr">
        <is>
          <t>N/A</t>
        </is>
      </c>
      <c r="D332" t="inlineStr">
        <is>
          <t>N/A</t>
        </is>
      </c>
      <c r="E332" t="inlineStr">
        <is>
          <t>N/A</t>
        </is>
      </c>
      <c r="F332" t="inlineStr">
        <is>
          <t>N/A</t>
        </is>
      </c>
      <c r="G332" t="inlineStr">
        <is>
          <t>N/A</t>
        </is>
      </c>
      <c r="H332" t="inlineStr">
        <is>
          <t>N/A</t>
        </is>
      </c>
      <c r="I332" t="inlineStr">
        <is>
          <t>N/A</t>
        </is>
      </c>
      <c r="J332" t="inlineStr">
        <is>
          <t>N/A</t>
        </is>
      </c>
      <c r="K332" t="inlineStr">
        <is>
          <t>N/A</t>
        </is>
      </c>
      <c r="L332" t="inlineStr">
        <is>
          <t>N/A</t>
        </is>
      </c>
      <c r="M332" t="inlineStr">
        <is>
          <t>N/A</t>
        </is>
      </c>
      <c r="N332" t="inlineStr">
        <is>
          <t>N/A</t>
        </is>
      </c>
    </row>
    <row r="333">
      <c r="A333" t="inlineStr">
        <is>
          <t>R3</t>
        </is>
      </c>
      <c r="B333" t="inlineStr">
        <is>
          <t>Temporary product storage</t>
        </is>
      </c>
      <c r="C333" t="inlineStr">
        <is>
          <t>tau_50, k</t>
        </is>
      </c>
      <c r="D333" t="inlineStr">
        <is>
          <t>applies</t>
        </is>
      </c>
      <c r="E333" t="inlineStr">
        <is>
          <t>y</t>
        </is>
      </c>
      <c r="F333" t="inlineStr">
        <is>
          <t>Weibull</t>
        </is>
      </c>
      <c r="G333" t="inlineStr">
        <is>
          <t>t-CO2/y</t>
        </is>
      </c>
      <c r="H333" t="inlineStr">
        <is>
          <t>not included</t>
        </is>
      </c>
      <c r="I333" t="inlineStr">
        <is>
          <t>enters the dynamic climate layer only; the static balance is time-independent</t>
        </is>
      </c>
      <c r="J333" t="inlineStr">
        <is>
          <t>deterministic</t>
        </is>
      </c>
      <c r="K333" t="inlineStr">
        <is>
          <t>pathway-specific</t>
        </is>
      </c>
      <c r="L333" t="inlineStr">
        <is>
          <t>none</t>
        </is>
      </c>
      <c r="M333" t="inlineStr">
        <is>
          <t>n/a</t>
        </is>
      </c>
      <c r="N333" t="inlineStr">
        <is>
          <t>Table 1 (main text)</t>
        </is>
      </c>
    </row>
    <row r="334">
      <c r="A334" t="inlineStr">
        <is>
          <t>R3</t>
        </is>
      </c>
      <c r="B334" t="inlineStr">
        <is>
          <t>Final atmospheric release</t>
        </is>
      </c>
      <c r="C334" t="inlineStr">
        <is>
          <t>E_product,f</t>
        </is>
      </c>
      <c r="D334" t="inlineStr">
        <is>
          <t>applies</t>
        </is>
      </c>
      <c r="E334" t="inlineStr">
        <is>
          <t>t-CO2/y</t>
        </is>
      </c>
      <c r="F334" t="inlineStr">
        <is>
          <t>already CO2</t>
        </is>
      </c>
      <c r="G334" t="inlineStr">
        <is>
          <t>t-CO2/y</t>
        </is>
      </c>
      <c r="H334" t="inlineStr">
        <is>
          <t>CARBON</t>
        </is>
      </c>
      <c r="I334" t="inlineStr">
        <is>
          <t>accounted through the QB charge (utilization) or D_p (recycling); the deferred release of U2b enters the dynamic layer</t>
        </is>
      </c>
      <c r="J334" t="inlineStr">
        <is>
          <t>random</t>
        </is>
      </c>
      <c r="K334" t="inlineStr">
        <is>
          <t>pathway-specific</t>
        </is>
      </c>
      <c r="L334" t="inlineStr">
        <is>
          <t>A/B for recycling</t>
        </is>
      </c>
      <c r="M334" t="inlineStr">
        <is>
          <t>+</t>
        </is>
      </c>
      <c r="N334" t="inlineStr">
        <is>
          <t>model</t>
        </is>
      </c>
    </row>
    <row r="335">
      <c r="A335" t="inlineStr">
        <is>
          <t>R3</t>
        </is>
      </c>
      <c r="B335" t="inlineStr">
        <is>
          <t>Capture solvent burden (R1 explicit)</t>
        </is>
      </c>
      <c r="C335" t="inlineStr">
        <is>
          <t>N/A</t>
        </is>
      </c>
      <c r="D335" t="inlineStr">
        <is>
          <t>N/A</t>
        </is>
      </c>
      <c r="E335" t="inlineStr">
        <is>
          <t>N/A</t>
        </is>
      </c>
      <c r="F335" t="inlineStr">
        <is>
          <t>N/A</t>
        </is>
      </c>
      <c r="G335" t="inlineStr">
        <is>
          <t>N/A</t>
        </is>
      </c>
      <c r="H335" t="inlineStr">
        <is>
          <t>N/A</t>
        </is>
      </c>
      <c r="I335" t="inlineStr">
        <is>
          <t>N/A</t>
        </is>
      </c>
      <c r="J335" t="inlineStr">
        <is>
          <t>N/A</t>
        </is>
      </c>
      <c r="K335" t="inlineStr">
        <is>
          <t>N/A</t>
        </is>
      </c>
      <c r="L335" t="inlineStr">
        <is>
          <t>N/A</t>
        </is>
      </c>
      <c r="M335" t="inlineStr">
        <is>
          <t>N/A</t>
        </is>
      </c>
      <c r="N335" t="inlineStr">
        <is>
          <t>N/A</t>
        </is>
      </c>
    </row>
    <row r="336">
      <c r="A336" t="inlineStr">
        <is>
          <t>R3</t>
        </is>
      </c>
      <c r="B336" t="inlineStr">
        <is>
          <t>Transport (R1 explicit: CO2 to storage / ore / slag / CO2 to synthesis)</t>
        </is>
      </c>
      <c r="C336" t="inlineStr">
        <is>
          <t>N/A</t>
        </is>
      </c>
      <c r="D336" t="inlineStr">
        <is>
          <t>N/A</t>
        </is>
      </c>
      <c r="E336" t="inlineStr">
        <is>
          <t>N/A</t>
        </is>
      </c>
      <c r="F336" t="inlineStr">
        <is>
          <t>N/A</t>
        </is>
      </c>
      <c r="G336" t="inlineStr">
        <is>
          <t>N/A</t>
        </is>
      </c>
      <c r="H336" t="inlineStr">
        <is>
          <t>N/A</t>
        </is>
      </c>
      <c r="I336" t="inlineStr">
        <is>
          <t>N/A</t>
        </is>
      </c>
      <c r="J336" t="inlineStr">
        <is>
          <t>N/A</t>
        </is>
      </c>
      <c r="K336" t="inlineStr">
        <is>
          <t>N/A</t>
        </is>
      </c>
      <c r="L336" t="inlineStr">
        <is>
          <t>N/A</t>
        </is>
      </c>
      <c r="M336" t="inlineStr">
        <is>
          <t>N/A</t>
        </is>
      </c>
      <c r="N336" t="inlineStr">
        <is>
          <t>N/A</t>
        </is>
      </c>
    </row>
    <row r="337">
      <c r="A337" t="inlineStr">
        <is>
          <t>R3</t>
        </is>
      </c>
      <c r="B337" t="inlineStr">
        <is>
          <t>Product transport</t>
        </is>
      </c>
      <c r="C337" t="inlineStr">
        <is>
          <t>Tr_prod</t>
        </is>
      </c>
      <c r="D337" t="inlineStr">
        <is>
          <t>inside residual</t>
        </is>
      </c>
      <c r="E337" t="inlineStr">
        <is>
          <t>t-CO2/y</t>
        </is>
      </c>
      <c r="F337" t="inlineStr">
        <is>
          <t>already CO2</t>
        </is>
      </c>
      <c r="G337" t="inlineStr">
        <is>
          <t>t-CO2/y</t>
        </is>
      </c>
      <c r="H337" t="inlineStr">
        <is>
          <t>RESIDUAL</t>
        </is>
      </c>
      <c r="I337" t="inlineStr">
        <is>
          <t>held at its national value, x m_rem</t>
        </is>
      </c>
      <c r="J337" t="inlineStr">
        <is>
          <t>random through m_rem</t>
        </is>
      </c>
      <c r="K337" t="inlineStr">
        <is>
          <t>pathway-specific</t>
        </is>
      </c>
      <c r="L337" t="inlineStr">
        <is>
          <t>none</t>
        </is>
      </c>
      <c r="M337" t="inlineStr">
        <is>
          <t>+</t>
        </is>
      </c>
      <c r="N337" t="inlineStr">
        <is>
          <t>calibrated remainder</t>
        </is>
      </c>
    </row>
    <row r="338">
      <c r="A338" t="inlineStr">
        <is>
          <t>R3</t>
        </is>
      </c>
      <c r="B338" t="inlineStr">
        <is>
          <t>Capital-related burdens</t>
        </is>
      </c>
      <c r="C338" t="inlineStr">
        <is>
          <t>C_cap</t>
        </is>
      </c>
      <c r="D338" t="inlineStr">
        <is>
          <t>inside residual</t>
        </is>
      </c>
      <c r="E338" t="inlineStr">
        <is>
          <t>t-CO2/y</t>
        </is>
      </c>
      <c r="F338" t="inlineStr">
        <is>
          <t>annualised</t>
        </is>
      </c>
      <c r="G338" t="inlineStr">
        <is>
          <t>t-CO2/y</t>
        </is>
      </c>
      <c r="H338" t="inlineStr">
        <is>
          <t>RESIDUAL</t>
        </is>
      </c>
      <c r="I338" t="inlineStr">
        <is>
          <t>annualised, held at its national value, x m_rem</t>
        </is>
      </c>
      <c r="J338" t="inlineStr">
        <is>
          <t>random through m_rem</t>
        </is>
      </c>
      <c r="K338" t="inlineStr">
        <is>
          <t>pathway-specific</t>
        </is>
      </c>
      <c r="L338" t="inlineStr">
        <is>
          <t>none</t>
        </is>
      </c>
      <c r="M338" t="inlineStr">
        <is>
          <t>+</t>
        </is>
      </c>
      <c r="N338" t="inlineStr">
        <is>
          <t>calibrated remainder</t>
        </is>
      </c>
    </row>
    <row r="339">
      <c r="A339" t="inlineStr">
        <is>
          <t>R3</t>
        </is>
      </c>
      <c r="B339" t="inlineStr">
        <is>
          <t>Calibrated residual, total</t>
        </is>
      </c>
      <c r="C339" t="inlineStr">
        <is>
          <t>C_p</t>
        </is>
      </c>
      <c r="D339" t="n">
        <v>-8651.26</v>
      </c>
      <c r="E339" t="inlineStr">
        <is>
          <t>t-CO2/y</t>
        </is>
      </c>
      <c r="F339" t="inlineStr">
        <is>
          <t>already CO2</t>
        </is>
      </c>
      <c r="G339" t="inlineStr">
        <is>
          <t>t-CO2/y</t>
        </is>
      </c>
      <c r="H339" t="inlineStr">
        <is>
          <t>RESIDUAL</t>
        </is>
      </c>
      <c r="I339" t="inlineStr">
        <is>
          <t>C_p x m_rem</t>
        </is>
      </c>
      <c r="J339" t="inlineStr">
        <is>
          <t>random through m_rem</t>
        </is>
      </c>
      <c r="K339" t="inlineStr">
        <is>
          <t>pathway-specific</t>
        </is>
      </c>
      <c r="L339" t="inlineStr">
        <is>
          <t>shifts with the anchor under B</t>
        </is>
      </c>
      <c r="M339" t="inlineStr">
        <is>
          <t>+/-</t>
        </is>
      </c>
      <c r="N339" t="inlineStr">
        <is>
          <t>verified national value minus the explicit groups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7"/>
  <sheetViews>
    <sheetView workbookViewId="0">
      <pane ySplit="1" topLeftCell="A2" activePane="bottomLeft" state="frozen"/>
      <selection pane="bottomLeft" activeCell="A1" sqref="A1"/>
    </sheetView>
  </sheetViews>
  <sheetFormatPr baseColWidth="8" defaultRowHeight="15"/>
  <cols>
    <col width="2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4" customWidth="1" min="10" max="10"/>
    <col width="19" customWidth="1" min="11" max="11"/>
    <col width="21" customWidth="1" min="12" max="12"/>
    <col width="18" customWidth="1" min="13" max="13"/>
  </cols>
  <sheetData>
    <row r="1">
      <c r="A1" s="1" t="inlineStr">
        <is>
          <t>Pathway</t>
        </is>
      </c>
      <c r="B1" s="1" t="inlineStr">
        <is>
          <t>s_cap (formula)</t>
        </is>
      </c>
      <c r="C1" s="1" t="inlineStr">
        <is>
          <t>b_fix (formula)</t>
        </is>
      </c>
      <c r="D1" s="1" t="inlineStr">
        <is>
          <t>b_steam (formula)</t>
        </is>
      </c>
      <c r="E1" s="1" t="inlineStr">
        <is>
          <t>b_el (formula)</t>
        </is>
      </c>
      <c r="F1" s="1" t="inlineStr">
        <is>
          <t>phi (formula)</t>
        </is>
      </c>
      <c r="G1" s="1" t="inlineStr">
        <is>
          <t>b_h2 (formula)</t>
        </is>
      </c>
      <c r="H1" s="1" t="inlineStr">
        <is>
          <t>b_reag (formula, R1)</t>
        </is>
      </c>
      <c r="I1" s="1" t="inlineStr">
        <is>
          <t>b_trans (formula, R1)</t>
        </is>
      </c>
      <c r="J1" s="1" t="inlineStr">
        <is>
          <t>C_p (link)</t>
        </is>
      </c>
      <c r="K1" s="1" t="inlineStr">
        <is>
          <t>Eq.2 total (formula)</t>
        </is>
      </c>
      <c r="L1" s="1" t="inlineStr">
        <is>
          <t>Verified national value</t>
        </is>
      </c>
      <c r="M1" s="1" t="inlineStr">
        <is>
          <t>Difference (formula)</t>
        </is>
      </c>
    </row>
    <row r="2">
      <c r="A2" t="inlineStr">
        <is>
          <t>S0</t>
        </is>
      </c>
      <c r="B2">
        <f>('1_Inputs'!$C$4*'1_Inputs'!$C$2)/('1_Inputs'!$C$4*'1_Inputs'!$C$2)</f>
        <v/>
      </c>
      <c r="C2">
        <f>('1_Inputs'!$C$6-'1_Inputs'!$C$7)*'1_Inputs'!$C$5</f>
        <v/>
      </c>
      <c r="D2">
        <f>0</f>
        <v/>
      </c>
      <c r="E2">
        <f>'1_Inputs'!D17*'1_Inputs'!$C$5</f>
        <v/>
      </c>
      <c r="F2">
        <f>'1_Inputs'!$C$3</f>
        <v/>
      </c>
      <c r="G2">
        <f>'1_Inputs'!E17*B2</f>
        <v/>
      </c>
      <c r="H2">
        <f>'1_Inputs'!K17*B2</f>
        <v/>
      </c>
      <c r="I2">
        <f>'1_Inputs'!L17*B2</f>
        <v/>
      </c>
      <c r="J2">
        <f>'1_Inputs'!M17</f>
        <v/>
      </c>
      <c r="K2">
        <f>SUM(C2:J2)</f>
        <v/>
      </c>
      <c r="L2">
        <f>'1_Inputs'!N17</f>
        <v/>
      </c>
      <c r="M2">
        <f>K2-L2</f>
        <v/>
      </c>
    </row>
    <row r="3">
      <c r="A3" t="inlineStr">
        <is>
          <t>M1</t>
        </is>
      </c>
      <c r="B3">
        <f>('1_Inputs'!$C$4*'1_Inputs'!$C$2)/('1_Inputs'!$C$4*'1_Inputs'!$C$2)</f>
        <v/>
      </c>
      <c r="C3">
        <f>('1_Inputs'!$C$6-'1_Inputs'!$C$7)*'1_Inputs'!$C$5</f>
        <v/>
      </c>
      <c r="D3">
        <f>'1_Inputs'!$C$9*B3*'1_Inputs'!$C$5</f>
        <v/>
      </c>
      <c r="E3">
        <f>'1_Inputs'!D18*B3*'1_Inputs'!$C$5</f>
        <v/>
      </c>
      <c r="F3">
        <f>(1-'1_Inputs'!$C$2)*'1_Inputs'!$C$3+'1_Inputs'!I18*B3*('1_Inputs'!$C$3/'1_Inputs'!$C$4)</f>
        <v/>
      </c>
      <c r="G3">
        <f>'1_Inputs'!E18*B3</f>
        <v/>
      </c>
      <c r="H3">
        <f>'1_Inputs'!K18*B3</f>
        <v/>
      </c>
      <c r="I3">
        <f>'1_Inputs'!L18*B3</f>
        <v/>
      </c>
      <c r="J3">
        <f>'1_Inputs'!M18</f>
        <v/>
      </c>
      <c r="K3">
        <f>SUM(C3:J3)</f>
        <v/>
      </c>
      <c r="L3">
        <f>'1_Inputs'!N18</f>
        <v/>
      </c>
      <c r="M3">
        <f>K3-L3</f>
        <v/>
      </c>
    </row>
    <row r="4">
      <c r="A4" t="inlineStr">
        <is>
          <t>M2</t>
        </is>
      </c>
      <c r="B4">
        <f>('1_Inputs'!$C$4*'1_Inputs'!$C$2)/('1_Inputs'!$C$4*'1_Inputs'!$C$2)</f>
        <v/>
      </c>
      <c r="C4">
        <f>('1_Inputs'!$C$6-'1_Inputs'!$C$7)*'1_Inputs'!$C$5</f>
        <v/>
      </c>
      <c r="D4">
        <f>'1_Inputs'!$C$9*B4*'1_Inputs'!$C$5</f>
        <v/>
      </c>
      <c r="E4">
        <f>'1_Inputs'!D19*B4*'1_Inputs'!$C$5</f>
        <v/>
      </c>
      <c r="F4">
        <f>(1-'1_Inputs'!$C$2)*'1_Inputs'!$C$3+'1_Inputs'!I19*B4*('1_Inputs'!$C$3/'1_Inputs'!$C$4)</f>
        <v/>
      </c>
      <c r="G4">
        <f>'1_Inputs'!E19*B4</f>
        <v/>
      </c>
      <c r="H4">
        <f>'1_Inputs'!K19*B4</f>
        <v/>
      </c>
      <c r="I4">
        <f>'1_Inputs'!L19*B4</f>
        <v/>
      </c>
      <c r="J4">
        <f>'1_Inputs'!M19</f>
        <v/>
      </c>
      <c r="K4">
        <f>SUM(C4:J4)</f>
        <v/>
      </c>
      <c r="L4">
        <f>'1_Inputs'!N19</f>
        <v/>
      </c>
      <c r="M4">
        <f>K4-L4</f>
        <v/>
      </c>
    </row>
    <row r="5">
      <c r="A5" t="inlineStr">
        <is>
          <t>M3</t>
        </is>
      </c>
      <c r="B5">
        <f>('1_Inputs'!$C$4*'1_Inputs'!$C$2)/('1_Inputs'!$C$4*'1_Inputs'!$C$2)</f>
        <v/>
      </c>
      <c r="C5">
        <f>('1_Inputs'!$C$6-'1_Inputs'!$C$7)*'1_Inputs'!$C$5</f>
        <v/>
      </c>
      <c r="D5">
        <f>'1_Inputs'!$C$9*B5*'1_Inputs'!$C$5</f>
        <v/>
      </c>
      <c r="E5">
        <f>'1_Inputs'!D20*B5*'1_Inputs'!$C$5</f>
        <v/>
      </c>
      <c r="F5">
        <f>(1-'1_Inputs'!$C$2)*'1_Inputs'!$C$3+'1_Inputs'!I20*B5*('1_Inputs'!$C$3/'1_Inputs'!$C$4)</f>
        <v/>
      </c>
      <c r="G5">
        <f>'1_Inputs'!E20*B5</f>
        <v/>
      </c>
      <c r="H5">
        <f>'1_Inputs'!K20*B5</f>
        <v/>
      </c>
      <c r="I5">
        <f>'1_Inputs'!L20*B5</f>
        <v/>
      </c>
      <c r="J5">
        <f>'1_Inputs'!M20</f>
        <v/>
      </c>
      <c r="K5">
        <f>SUM(C5:J5)</f>
        <v/>
      </c>
      <c r="L5">
        <f>'1_Inputs'!N20</f>
        <v/>
      </c>
      <c r="M5">
        <f>K5-L5</f>
        <v/>
      </c>
    </row>
    <row r="6">
      <c r="A6" t="inlineStr">
        <is>
          <t>M4</t>
        </is>
      </c>
      <c r="B6">
        <f>('1_Inputs'!$C$4*'1_Inputs'!$C$2)/('1_Inputs'!$C$4*'1_Inputs'!$C$2)</f>
        <v/>
      </c>
      <c r="C6">
        <f>('1_Inputs'!$C$6-'1_Inputs'!$C$7)*'1_Inputs'!$C$5</f>
        <v/>
      </c>
      <c r="D6">
        <f>'1_Inputs'!$C$9*B6*'1_Inputs'!$C$5</f>
        <v/>
      </c>
      <c r="E6">
        <f>'1_Inputs'!D21*B6*'1_Inputs'!$C$5</f>
        <v/>
      </c>
      <c r="F6">
        <f>(1-'1_Inputs'!$C$2)*'1_Inputs'!$C$3+'1_Inputs'!I21*B6*('1_Inputs'!$C$3/'1_Inputs'!$C$4)</f>
        <v/>
      </c>
      <c r="G6">
        <f>'1_Inputs'!E21*B6</f>
        <v/>
      </c>
      <c r="H6">
        <f>'1_Inputs'!K21*B6</f>
        <v/>
      </c>
      <c r="I6">
        <f>'1_Inputs'!L21*B6</f>
        <v/>
      </c>
      <c r="J6">
        <f>'1_Inputs'!M21</f>
        <v/>
      </c>
      <c r="K6">
        <f>SUM(C6:J6)</f>
        <v/>
      </c>
      <c r="L6">
        <f>'1_Inputs'!N21</f>
        <v/>
      </c>
      <c r="M6">
        <f>K6-L6</f>
        <v/>
      </c>
    </row>
    <row r="7">
      <c r="A7" t="inlineStr">
        <is>
          <t>G1</t>
        </is>
      </c>
      <c r="B7">
        <f>('1_Inputs'!$C$4*'1_Inputs'!$C$2)/('1_Inputs'!$C$4*'1_Inputs'!$C$2)</f>
        <v/>
      </c>
      <c r="C7">
        <f>('1_Inputs'!$C$6-'1_Inputs'!$C$7)*'1_Inputs'!$C$5</f>
        <v/>
      </c>
      <c r="D7">
        <f>'1_Inputs'!$C$9*B7*'1_Inputs'!$C$5</f>
        <v/>
      </c>
      <c r="E7">
        <f>'1_Inputs'!D22*B7*'1_Inputs'!$C$5</f>
        <v/>
      </c>
      <c r="F7">
        <f>(1-'1_Inputs'!$C$2)*'1_Inputs'!$C$3</f>
        <v/>
      </c>
      <c r="G7">
        <f>'1_Inputs'!E22*B7</f>
        <v/>
      </c>
      <c r="H7">
        <f>'1_Inputs'!K22*B7</f>
        <v/>
      </c>
      <c r="I7">
        <f>'1_Inputs'!L22*B7</f>
        <v/>
      </c>
      <c r="J7">
        <f>'1_Inputs'!M22</f>
        <v/>
      </c>
      <c r="K7">
        <f>SUM(C7:J7)</f>
        <v/>
      </c>
      <c r="L7">
        <f>'1_Inputs'!N22</f>
        <v/>
      </c>
      <c r="M7">
        <f>K7-L7</f>
        <v/>
      </c>
    </row>
    <row r="8">
      <c r="A8" t="inlineStr">
        <is>
          <t>G2</t>
        </is>
      </c>
      <c r="B8">
        <f>('1_Inputs'!$C$4*'1_Inputs'!$C$2)/('1_Inputs'!$C$4*'1_Inputs'!$C$2)</f>
        <v/>
      </c>
      <c r="C8">
        <f>('1_Inputs'!$C$6-'1_Inputs'!$C$7)*'1_Inputs'!$C$5</f>
        <v/>
      </c>
      <c r="D8">
        <f>'1_Inputs'!$C$9*B8*'1_Inputs'!$C$5</f>
        <v/>
      </c>
      <c r="E8">
        <f>'1_Inputs'!D23*B8*'1_Inputs'!$C$5</f>
        <v/>
      </c>
      <c r="F8">
        <f>(1-'1_Inputs'!$C$2)*'1_Inputs'!$C$3</f>
        <v/>
      </c>
      <c r="G8">
        <f>'1_Inputs'!E23*B8</f>
        <v/>
      </c>
      <c r="H8">
        <f>'1_Inputs'!K23*B8</f>
        <v/>
      </c>
      <c r="I8">
        <f>'1_Inputs'!L23*B8</f>
        <v/>
      </c>
      <c r="J8">
        <f>'1_Inputs'!M23</f>
        <v/>
      </c>
      <c r="K8">
        <f>SUM(C8:J8)</f>
        <v/>
      </c>
      <c r="L8">
        <f>'1_Inputs'!N23</f>
        <v/>
      </c>
      <c r="M8">
        <f>K8-L8</f>
        <v/>
      </c>
    </row>
    <row r="9">
      <c r="A9" t="inlineStr">
        <is>
          <t>U1</t>
        </is>
      </c>
      <c r="B9">
        <f>('1_Inputs'!$C$4*'1_Inputs'!$C$2)/('1_Inputs'!$C$4*'1_Inputs'!$C$2)</f>
        <v/>
      </c>
      <c r="C9">
        <f>('1_Inputs'!$C$6-'1_Inputs'!$C$7)*'1_Inputs'!$C$5</f>
        <v/>
      </c>
      <c r="D9">
        <f>'1_Inputs'!$C$9*B9*'1_Inputs'!$C$5</f>
        <v/>
      </c>
      <c r="E9">
        <f>'1_Inputs'!D24*B9*'1_Inputs'!$C$5</f>
        <v/>
      </c>
      <c r="F9">
        <f>(1-'1_Inputs'!$C$2)*'1_Inputs'!$C$3+'1_Inputs'!H24*B9*('1_Inputs'!$C$3/'1_Inputs'!$C$4)-('1_Inputs'!F24-('1_Inputs'!$C$3/'1_Inputs'!$C$4)*'1_Inputs'!G24)*B9</f>
        <v/>
      </c>
      <c r="G9">
        <f>'1_Inputs'!E24*B9</f>
        <v/>
      </c>
      <c r="H9">
        <f>'1_Inputs'!K24*B9</f>
        <v/>
      </c>
      <c r="I9">
        <f>'1_Inputs'!L24*B9</f>
        <v/>
      </c>
      <c r="J9">
        <f>'1_Inputs'!M24</f>
        <v/>
      </c>
      <c r="K9">
        <f>SUM(C9:J9)</f>
        <v/>
      </c>
      <c r="L9">
        <f>'1_Inputs'!N24</f>
        <v/>
      </c>
      <c r="M9">
        <f>K9-L9</f>
        <v/>
      </c>
    </row>
    <row r="10">
      <c r="A10" t="inlineStr">
        <is>
          <t>U2a</t>
        </is>
      </c>
      <c r="B10">
        <f>('1_Inputs'!$C$4*'1_Inputs'!$C$2)/('1_Inputs'!$C$4*'1_Inputs'!$C$2)</f>
        <v/>
      </c>
      <c r="C10">
        <f>('1_Inputs'!$C$6-'1_Inputs'!$C$7)*'1_Inputs'!$C$5</f>
        <v/>
      </c>
      <c r="D10">
        <f>'1_Inputs'!$C$9*B10*'1_Inputs'!$C$5</f>
        <v/>
      </c>
      <c r="E10">
        <f>'1_Inputs'!D25*B10*'1_Inputs'!$C$5</f>
        <v/>
      </c>
      <c r="F10">
        <f>(1-'1_Inputs'!$C$2)*'1_Inputs'!$C$3+'1_Inputs'!H25*B10*('1_Inputs'!$C$3/'1_Inputs'!$C$4)-('1_Inputs'!F25-('1_Inputs'!$C$3/'1_Inputs'!$C$4)*'1_Inputs'!G25)*B10</f>
        <v/>
      </c>
      <c r="G10">
        <f>'1_Inputs'!E25*B10</f>
        <v/>
      </c>
      <c r="H10">
        <f>'1_Inputs'!K25*B10</f>
        <v/>
      </c>
      <c r="I10">
        <f>'1_Inputs'!L25*B10</f>
        <v/>
      </c>
      <c r="J10">
        <f>'1_Inputs'!M25</f>
        <v/>
      </c>
      <c r="K10">
        <f>SUM(C10:J10)</f>
        <v/>
      </c>
      <c r="L10">
        <f>'1_Inputs'!N25</f>
        <v/>
      </c>
      <c r="M10">
        <f>K10-L10</f>
        <v/>
      </c>
    </row>
    <row r="11">
      <c r="A11" t="inlineStr">
        <is>
          <t>U2b</t>
        </is>
      </c>
      <c r="B11">
        <f>('1_Inputs'!$C$4*'1_Inputs'!$C$2)/('1_Inputs'!$C$4*'1_Inputs'!$C$2)</f>
        <v/>
      </c>
      <c r="C11">
        <f>('1_Inputs'!$C$6-'1_Inputs'!$C$7)*'1_Inputs'!$C$5</f>
        <v/>
      </c>
      <c r="D11">
        <f>'1_Inputs'!$C$9*B11*'1_Inputs'!$C$5</f>
        <v/>
      </c>
      <c r="E11">
        <f>'1_Inputs'!D26*B11*'1_Inputs'!$C$5</f>
        <v/>
      </c>
      <c r="F11">
        <f>(1-'1_Inputs'!$C$2)*'1_Inputs'!$C$3+'1_Inputs'!H26*B11*('1_Inputs'!$C$3/'1_Inputs'!$C$4)-('1_Inputs'!F26-('1_Inputs'!$C$3/'1_Inputs'!$C$4)*'1_Inputs'!G26)*B11</f>
        <v/>
      </c>
      <c r="G11">
        <f>'1_Inputs'!E26*B11</f>
        <v/>
      </c>
      <c r="H11">
        <f>'1_Inputs'!K26*B11</f>
        <v/>
      </c>
      <c r="I11">
        <f>'1_Inputs'!L26*B11</f>
        <v/>
      </c>
      <c r="J11">
        <f>'1_Inputs'!M26</f>
        <v/>
      </c>
      <c r="K11">
        <f>SUM(C11:J11)</f>
        <v/>
      </c>
      <c r="L11">
        <f>'1_Inputs'!N26</f>
        <v/>
      </c>
      <c r="M11">
        <f>K11-L11</f>
        <v/>
      </c>
    </row>
    <row r="12">
      <c r="A12" t="inlineStr">
        <is>
          <t>R1</t>
        </is>
      </c>
      <c r="B12">
        <f>('1_Inputs'!$C$4*'1_Inputs'!$C$2)/('1_Inputs'!$C$4*'1_Inputs'!$C$2)</f>
        <v/>
      </c>
      <c r="C12">
        <f>('1_Inputs'!$C$6-'1_Inputs'!$C$7)*'1_Inputs'!$C$5</f>
        <v/>
      </c>
      <c r="D12">
        <f>0</f>
        <v/>
      </c>
      <c r="E12">
        <f>'1_Inputs'!D27*('1_Inputs'!$C$3/'1_Inputs'!$C$3)*'1_Inputs'!$C$5</f>
        <v/>
      </c>
      <c r="F12">
        <f>'1_Inputs'!$C$3-'1_Inputs'!J27*('1_Inputs'!$C$3/'1_Inputs'!$C$3)</f>
        <v/>
      </c>
      <c r="G12">
        <f>'1_Inputs'!E27*B12</f>
        <v/>
      </c>
      <c r="H12">
        <f>'1_Inputs'!K27*B12</f>
        <v/>
      </c>
      <c r="I12">
        <f>'1_Inputs'!L27*B12</f>
        <v/>
      </c>
      <c r="J12">
        <f>'1_Inputs'!M27</f>
        <v/>
      </c>
      <c r="K12">
        <f>SUM(C12:J12)</f>
        <v/>
      </c>
      <c r="L12">
        <f>'1_Inputs'!N27</f>
        <v/>
      </c>
      <c r="M12">
        <f>K12-L12</f>
        <v/>
      </c>
    </row>
    <row r="13">
      <c r="A13" t="inlineStr">
        <is>
          <t>R2</t>
        </is>
      </c>
      <c r="B13">
        <f>('1_Inputs'!$C$4*'1_Inputs'!$C$2)/('1_Inputs'!$C$4*'1_Inputs'!$C$2)</f>
        <v/>
      </c>
      <c r="C13">
        <f>('1_Inputs'!$C$6-'1_Inputs'!$C$7)*'1_Inputs'!$C$5</f>
        <v/>
      </c>
      <c r="D13">
        <f>0</f>
        <v/>
      </c>
      <c r="E13">
        <f>'1_Inputs'!D28*('1_Inputs'!$C$3/'1_Inputs'!$C$3)*'1_Inputs'!$C$5</f>
        <v/>
      </c>
      <c r="F13">
        <f>'1_Inputs'!$C$3-'1_Inputs'!J28*('1_Inputs'!$C$3/'1_Inputs'!$C$3)</f>
        <v/>
      </c>
      <c r="G13">
        <f>'1_Inputs'!E28*B13</f>
        <v/>
      </c>
      <c r="H13">
        <f>'1_Inputs'!K28*B13</f>
        <v/>
      </c>
      <c r="I13">
        <f>'1_Inputs'!L28*B13</f>
        <v/>
      </c>
      <c r="J13">
        <f>'1_Inputs'!M28</f>
        <v/>
      </c>
      <c r="K13">
        <f>SUM(C13:J13)</f>
        <v/>
      </c>
      <c r="L13">
        <f>'1_Inputs'!N28</f>
        <v/>
      </c>
      <c r="M13">
        <f>K13-L13</f>
        <v/>
      </c>
    </row>
    <row r="14">
      <c r="A14" t="inlineStr">
        <is>
          <t>R3</t>
        </is>
      </c>
      <c r="B14">
        <f>('1_Inputs'!$C$4*'1_Inputs'!$C$2)/('1_Inputs'!$C$4*'1_Inputs'!$C$2)</f>
        <v/>
      </c>
      <c r="C14">
        <f>('1_Inputs'!$C$6-'1_Inputs'!$C$7)*'1_Inputs'!$C$5</f>
        <v/>
      </c>
      <c r="D14">
        <f>0</f>
        <v/>
      </c>
      <c r="E14">
        <f>'1_Inputs'!D29*('1_Inputs'!$C$3/'1_Inputs'!$C$3)*'1_Inputs'!$C$5</f>
        <v/>
      </c>
      <c r="F14">
        <f>'1_Inputs'!$C$3-'1_Inputs'!J29*('1_Inputs'!$C$3/'1_Inputs'!$C$3)</f>
        <v/>
      </c>
      <c r="G14">
        <f>'1_Inputs'!E29*B14</f>
        <v/>
      </c>
      <c r="H14">
        <f>'1_Inputs'!K29*B14</f>
        <v/>
      </c>
      <c r="I14">
        <f>'1_Inputs'!L29*B14</f>
        <v/>
      </c>
      <c r="J14">
        <f>'1_Inputs'!M29</f>
        <v/>
      </c>
      <c r="K14">
        <f>SUM(C14:J14)</f>
        <v/>
      </c>
      <c r="L14">
        <f>'1_Inputs'!N29</f>
        <v/>
      </c>
      <c r="M14">
        <f>K14-L14</f>
        <v/>
      </c>
    </row>
    <row r="16">
      <c r="A16" t="inlineStr">
        <is>
          <t>Max abs difference</t>
        </is>
      </c>
      <c r="B16">
        <f>MAX(MAX(M2:M15),-MIN(M2:M15))</f>
        <v/>
      </c>
    </row>
    <row r="17">
      <c r="A17" t="inlineStr">
        <is>
          <t>Note</t>
        </is>
      </c>
      <c r="B17" t="inlineStr">
        <is>
          <t>Every cell in columns B to K is an Excel formula that reads the parameters from 1_Inputs. Nothing in this sheet is a pasted component value, so the sheet recomputes if any input is changed.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cols>
    <col width="22" customWidth="1" min="1" max="1"/>
    <col width="21" customWidth="1" min="2" max="2"/>
    <col width="26" customWidth="1" min="3" max="3"/>
    <col width="19" customWidth="1" min="4" max="4"/>
    <col width="26" customWidth="1" min="5" max="5"/>
    <col width="20" customWidth="1" min="6" max="6"/>
    <col width="22" customWidth="1" min="7" max="7"/>
    <col width="12" customWidth="1" min="8" max="8"/>
  </cols>
  <sheetData>
    <row r="1">
      <c r="A1" s="1" t="inlineStr">
        <is>
          <t>Pathway</t>
        </is>
      </c>
      <c r="B1" s="1" t="inlineStr">
        <is>
          <t>Eq.2 deterministic</t>
        </is>
      </c>
      <c r="C1" s="1" t="inlineStr">
        <is>
          <t>Eq.6 A, all multipliers = 1</t>
        </is>
      </c>
      <c r="D1" s="1" t="inlineStr">
        <is>
          <t>Difference (formula)</t>
        </is>
      </c>
      <c r="E1" s="1" t="inlineStr">
        <is>
          <t>Eq.6 B, all multipliers = 1</t>
        </is>
      </c>
      <c r="F1" s="1" t="inlineStr">
        <is>
          <t>B minus A (formula)</t>
        </is>
      </c>
      <c r="G1" s="1" t="inlineStr">
        <is>
          <t>D_p, expected B minus A</t>
        </is>
      </c>
      <c r="H1" s="1" t="inlineStr">
        <is>
          <t>Tolerance</t>
        </is>
      </c>
    </row>
    <row r="2">
      <c r="A2" t="inlineStr">
        <is>
          <t>S0</t>
        </is>
      </c>
      <c r="B2" t="n">
        <v>18737.1784549104</v>
      </c>
      <c r="C2" t="n">
        <v>18737.1784549104</v>
      </c>
      <c r="D2">
        <f>B2-C2</f>
        <v/>
      </c>
      <c r="E2" t="n">
        <v>18737.1784549104</v>
      </c>
      <c r="F2">
        <f>E2-C2</f>
        <v/>
      </c>
      <c r="G2" t="n">
        <v>0</v>
      </c>
      <c r="H2" t="n">
        <v>1e-09</v>
      </c>
    </row>
    <row r="3">
      <c r="A3" t="inlineStr">
        <is>
          <t>M1</t>
        </is>
      </c>
      <c r="B3" t="n">
        <v>30453.2333784559</v>
      </c>
      <c r="C3" t="n">
        <v>30453.2333784559</v>
      </c>
      <c r="D3">
        <f>B3-C3</f>
        <v/>
      </c>
      <c r="E3" t="n">
        <v>30453.2333784559</v>
      </c>
      <c r="F3">
        <f>E3-C3</f>
        <v/>
      </c>
      <c r="G3" t="n">
        <v>0</v>
      </c>
      <c r="H3" t="n">
        <v>1e-09</v>
      </c>
    </row>
    <row r="4">
      <c r="A4" t="inlineStr">
        <is>
          <t>M2</t>
        </is>
      </c>
      <c r="B4" t="n">
        <v>36176.6186853336</v>
      </c>
      <c r="C4" t="n">
        <v>36176.6186853336</v>
      </c>
      <c r="D4">
        <f>B4-C4</f>
        <v/>
      </c>
      <c r="E4" t="n">
        <v>36176.6186853336</v>
      </c>
      <c r="F4">
        <f>E4-C4</f>
        <v/>
      </c>
      <c r="G4" t="n">
        <v>0</v>
      </c>
      <c r="H4" t="n">
        <v>1e-09</v>
      </c>
    </row>
    <row r="5">
      <c r="A5" t="inlineStr">
        <is>
          <t>M3</t>
        </is>
      </c>
      <c r="B5" t="n">
        <v>40354.0014631812</v>
      </c>
      <c r="C5" t="n">
        <v>40354.0014631812</v>
      </c>
      <c r="D5">
        <f>B5-C5</f>
        <v/>
      </c>
      <c r="E5" t="n">
        <v>40354.0014631812</v>
      </c>
      <c r="F5">
        <f>E5-C5</f>
        <v/>
      </c>
      <c r="G5" t="n">
        <v>0</v>
      </c>
      <c r="H5" t="n">
        <v>1e-09</v>
      </c>
    </row>
    <row r="6">
      <c r="A6" t="inlineStr">
        <is>
          <t>M4</t>
        </is>
      </c>
      <c r="B6" t="n">
        <v>81898.016381965</v>
      </c>
      <c r="C6" t="n">
        <v>81898.016381965</v>
      </c>
      <c r="D6">
        <f>B6-C6</f>
        <v/>
      </c>
      <c r="E6" t="n">
        <v>81898.016381965</v>
      </c>
      <c r="F6">
        <f>E6-C6</f>
        <v/>
      </c>
      <c r="G6" t="n">
        <v>0</v>
      </c>
      <c r="H6" t="n">
        <v>1e-09</v>
      </c>
    </row>
    <row r="7">
      <c r="A7" t="inlineStr">
        <is>
          <t>G1</t>
        </is>
      </c>
      <c r="B7" t="n">
        <v>6937.9382854062</v>
      </c>
      <c r="C7" t="n">
        <v>6937.9382854062</v>
      </c>
      <c r="D7">
        <f>B7-C7</f>
        <v/>
      </c>
      <c r="E7" t="n">
        <v>6937.9382854062</v>
      </c>
      <c r="F7">
        <f>E7-C7</f>
        <v/>
      </c>
      <c r="G7" t="n">
        <v>0</v>
      </c>
      <c r="H7" t="n">
        <v>1e-09</v>
      </c>
    </row>
    <row r="8">
      <c r="A8" t="inlineStr">
        <is>
          <t>G2</t>
        </is>
      </c>
      <c r="B8" t="n">
        <v>6994.7549197629</v>
      </c>
      <c r="C8" t="n">
        <v>6994.7549197629</v>
      </c>
      <c r="D8">
        <f>B8-C8</f>
        <v/>
      </c>
      <c r="E8" t="n">
        <v>6994.7549197629</v>
      </c>
      <c r="F8">
        <f>E8-C8</f>
        <v/>
      </c>
      <c r="G8" t="n">
        <v>0</v>
      </c>
      <c r="H8" t="n">
        <v>1e-09</v>
      </c>
    </row>
    <row r="9">
      <c r="A9" t="inlineStr">
        <is>
          <t>U1</t>
        </is>
      </c>
      <c r="B9" t="n">
        <v>22098.2458516237</v>
      </c>
      <c r="C9" t="n">
        <v>22098.2458516237</v>
      </c>
      <c r="D9">
        <f>B9-C9</f>
        <v/>
      </c>
      <c r="E9" t="n">
        <v>22098.2458516237</v>
      </c>
      <c r="F9">
        <f>E9-C9</f>
        <v/>
      </c>
      <c r="G9" t="n">
        <v>0</v>
      </c>
      <c r="H9" t="n">
        <v>1e-09</v>
      </c>
    </row>
    <row r="10">
      <c r="A10" t="inlineStr">
        <is>
          <t>U2a</t>
        </is>
      </c>
      <c r="B10" t="n">
        <v>-45803.013444645</v>
      </c>
      <c r="C10" t="n">
        <v>-45803.013444645</v>
      </c>
      <c r="D10">
        <f>B10-C10</f>
        <v/>
      </c>
      <c r="E10" t="n">
        <v>-45803.013444645</v>
      </c>
      <c r="F10">
        <f>E10-C10</f>
        <v/>
      </c>
      <c r="G10" t="n">
        <v>0</v>
      </c>
      <c r="H10" t="n">
        <v>1e-09</v>
      </c>
    </row>
    <row r="11">
      <c r="A11" t="inlineStr">
        <is>
          <t>U2b</t>
        </is>
      </c>
      <c r="B11" t="n">
        <v>-12762.1528248942</v>
      </c>
      <c r="C11" t="n">
        <v>-12762.1528248942</v>
      </c>
      <c r="D11">
        <f>B11-C11</f>
        <v/>
      </c>
      <c r="E11" t="n">
        <v>-12762.1528248942</v>
      </c>
      <c r="F11">
        <f>E11-C11</f>
        <v/>
      </c>
      <c r="G11" t="n">
        <v>0</v>
      </c>
      <c r="H11" t="n">
        <v>1e-09</v>
      </c>
    </row>
    <row r="12">
      <c r="A12" t="inlineStr">
        <is>
          <t>R1</t>
        </is>
      </c>
      <c r="B12" t="n">
        <v>-7663.1</v>
      </c>
      <c r="C12" t="n">
        <v>-7663.1</v>
      </c>
      <c r="D12">
        <f>B12-C12</f>
        <v/>
      </c>
      <c r="E12" t="n">
        <v>10014.9</v>
      </c>
      <c r="F12">
        <f>E12-C12</f>
        <v/>
      </c>
      <c r="G12" t="n">
        <v>17678</v>
      </c>
      <c r="H12" t="n">
        <v>1e-09</v>
      </c>
    </row>
    <row r="13">
      <c r="A13" t="inlineStr">
        <is>
          <t>R2</t>
        </is>
      </c>
      <c r="B13" t="n">
        <v>-7663.1</v>
      </c>
      <c r="C13" t="n">
        <v>-7663.1</v>
      </c>
      <c r="D13">
        <f>B13-C13</f>
        <v/>
      </c>
      <c r="E13" t="n">
        <v>10014.9</v>
      </c>
      <c r="F13">
        <f>E13-C13</f>
        <v/>
      </c>
      <c r="G13" t="n">
        <v>17678</v>
      </c>
      <c r="H13" t="n">
        <v>1e-09</v>
      </c>
    </row>
    <row r="14">
      <c r="A14" t="inlineStr">
        <is>
          <t>R3</t>
        </is>
      </c>
      <c r="B14" t="n">
        <v>-7468.3320338983</v>
      </c>
      <c r="C14" t="n">
        <v>-7468.3320338983</v>
      </c>
      <c r="D14">
        <f>B14-C14</f>
        <v/>
      </c>
      <c r="E14" t="n">
        <v>10181.6679661017</v>
      </c>
      <c r="F14">
        <f>E14-C14</f>
        <v/>
      </c>
      <c r="G14" t="n">
        <v>17650</v>
      </c>
      <c r="H14" t="n">
        <v>1e-09</v>
      </c>
    </row>
    <row r="16">
      <c r="A16" t="inlineStr">
        <is>
          <t>Max abs difference</t>
        </is>
      </c>
      <c r="B16">
        <f>MAX(MAX(D2:D15),-MIN(D2:D15))</f>
        <v/>
      </c>
    </row>
    <row r="17">
      <c r="A17" t="inlineStr">
        <is>
          <t>Interpretation</t>
        </is>
      </c>
      <c r="B17" t="inlineStr">
        <is>
          <t>Eq.2 and Eq.6 are one model written in two groupings. A non-zero value in column D would mean they are not.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6"/>
  <sheetViews>
    <sheetView workbookViewId="0">
      <pane ySplit="1" topLeftCell="A2" activePane="bottomLeft" state="frozen"/>
      <selection pane="bottomLeft" activeCell="A1" sqref="A1"/>
    </sheetView>
  </sheetViews>
  <sheetFormatPr baseColWidth="8" defaultRowHeight="15"/>
  <cols>
    <col width="2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9" customWidth="1" min="10" max="10"/>
    <col width="14" customWidth="1" min="11" max="11"/>
    <col width="15" customWidth="1" min="12" max="12"/>
    <col width="14" customWidth="1" min="13" max="13"/>
    <col width="15" customWidth="1" min="14" max="14"/>
    <col width="16" customWidth="1" min="15" max="15"/>
  </cols>
  <sheetData>
    <row r="1">
      <c r="A1" s="1" t="inlineStr">
        <is>
          <t>Pathway</t>
        </is>
      </c>
      <c r="B1" s="1" t="inlineStr">
        <is>
          <t>g0w0h0</t>
        </is>
      </c>
      <c r="C1" s="1" t="inlineStr">
        <is>
          <t>g0w0h1</t>
        </is>
      </c>
      <c r="D1" s="1" t="inlineStr">
        <is>
          <t>g0w1h0</t>
        </is>
      </c>
      <c r="E1" s="1" t="inlineStr">
        <is>
          <t>g0w1h1</t>
        </is>
      </c>
      <c r="F1" s="1" t="inlineStr">
        <is>
          <t>g1w0h0</t>
        </is>
      </c>
      <c r="G1" s="1" t="inlineStr">
        <is>
          <t>g1w0h1</t>
        </is>
      </c>
      <c r="H1" s="1" t="inlineStr">
        <is>
          <t>g1w1h0</t>
        </is>
      </c>
      <c r="I1" s="1" t="inlineStr">
        <is>
          <t>g1w1h1</t>
        </is>
      </c>
      <c r="J1" s="1" t="inlineStr">
        <is>
          <t>Total change (formula)</t>
        </is>
      </c>
      <c r="K1" s="1" t="inlineStr">
        <is>
          <t>Shapley grid</t>
        </is>
      </c>
      <c r="L1" s="1" t="inlineStr">
        <is>
          <t>Shapley waste</t>
        </is>
      </c>
      <c r="M1" s="1" t="inlineStr">
        <is>
          <t>Shapley H2</t>
        </is>
      </c>
      <c r="N1" s="1" t="inlineStr">
        <is>
          <t>Sum (formula)</t>
        </is>
      </c>
      <c r="O1" s="1" t="inlineStr">
        <is>
          <t>Closure (formula)</t>
        </is>
      </c>
    </row>
    <row r="2">
      <c r="A2" t="inlineStr">
        <is>
          <t>S0</t>
        </is>
      </c>
      <c r="B2" t="n">
        <v>18737.178455</v>
      </c>
      <c r="C2" t="n">
        <v>18737.178455</v>
      </c>
      <c r="D2" t="n">
        <v>2677.991255</v>
      </c>
      <c r="E2" t="n">
        <v>2677.991255</v>
      </c>
      <c r="F2" t="n">
        <v>25390.169455</v>
      </c>
      <c r="G2" t="n">
        <v>25390.169455</v>
      </c>
      <c r="H2" t="n">
        <v>9330.982255000001</v>
      </c>
      <c r="I2" t="n">
        <v>9330.982255000001</v>
      </c>
      <c r="J2">
        <f>I2-B2</f>
        <v/>
      </c>
      <c r="K2" t="n">
        <v>6652.991</v>
      </c>
      <c r="L2" t="n">
        <v>-16059.1872</v>
      </c>
      <c r="M2" t="n">
        <v>0</v>
      </c>
      <c r="N2">
        <f>SUM(K2:M2)</f>
        <v/>
      </c>
      <c r="O2">
        <f>J2-N2</f>
        <v/>
      </c>
    </row>
    <row r="3">
      <c r="A3" t="inlineStr">
        <is>
          <t>M1</t>
        </is>
      </c>
      <c r="B3" t="n">
        <v>30453.233378</v>
      </c>
      <c r="C3" t="n">
        <v>30453.233378</v>
      </c>
      <c r="D3" t="n">
        <v>20701.160981</v>
      </c>
      <c r="E3" t="n">
        <v>20701.160981</v>
      </c>
      <c r="F3" t="n">
        <v>15970.513249</v>
      </c>
      <c r="G3" t="n">
        <v>15970.513249</v>
      </c>
      <c r="H3" t="n">
        <v>10533.108513</v>
      </c>
      <c r="I3" t="n">
        <v>10533.108513</v>
      </c>
      <c r="J3">
        <f>I3-B3</f>
        <v/>
      </c>
      <c r="K3" t="n">
        <v>-12325.386299</v>
      </c>
      <c r="L3" t="n">
        <v>-7594.738566</v>
      </c>
      <c r="M3" t="n">
        <v>0</v>
      </c>
      <c r="N3">
        <f>SUM(K3:M3)</f>
        <v/>
      </c>
      <c r="O3">
        <f>J3-N3</f>
        <v/>
      </c>
    </row>
    <row r="4">
      <c r="A4" t="inlineStr">
        <is>
          <t>M2</t>
        </is>
      </c>
      <c r="B4" t="n">
        <v>36176.618685</v>
      </c>
      <c r="C4" t="n">
        <v>36176.618685</v>
      </c>
      <c r="D4" t="n">
        <v>28873.973827</v>
      </c>
      <c r="E4" t="n">
        <v>28873.973827</v>
      </c>
      <c r="F4" t="n">
        <v>30676.29603</v>
      </c>
      <c r="G4" t="n">
        <v>30676.29603</v>
      </c>
      <c r="H4" t="n">
        <v>25854.642187</v>
      </c>
      <c r="I4" t="n">
        <v>25854.642187</v>
      </c>
      <c r="J4">
        <f>I4-B4</f>
        <v/>
      </c>
      <c r="K4" t="n">
        <v>-4259.827148</v>
      </c>
      <c r="L4" t="n">
        <v>-6062.149351</v>
      </c>
      <c r="M4" t="n">
        <v>0</v>
      </c>
      <c r="N4">
        <f>SUM(K4:M4)</f>
        <v/>
      </c>
      <c r="O4">
        <f>J4-N4</f>
        <v/>
      </c>
    </row>
    <row r="5">
      <c r="A5" t="inlineStr">
        <is>
          <t>M3</t>
        </is>
      </c>
      <c r="B5" t="n">
        <v>40354.001463</v>
      </c>
      <c r="C5" t="n">
        <v>40354.001463</v>
      </c>
      <c r="D5" t="n">
        <v>34200.862639</v>
      </c>
      <c r="E5" t="n">
        <v>34200.862639</v>
      </c>
      <c r="F5" t="n">
        <v>36117.180394</v>
      </c>
      <c r="G5" t="n">
        <v>36117.180394</v>
      </c>
      <c r="H5" t="n">
        <v>32187.099961</v>
      </c>
      <c r="I5" t="n">
        <v>32187.099961</v>
      </c>
      <c r="J5">
        <f>I5-B5</f>
        <v/>
      </c>
      <c r="K5" t="n">
        <v>-3125.291874</v>
      </c>
      <c r="L5" t="n">
        <v>-5041.609629</v>
      </c>
      <c r="M5" t="n">
        <v>0</v>
      </c>
      <c r="N5">
        <f>SUM(K5:M5)</f>
        <v/>
      </c>
      <c r="O5">
        <f>J5-N5</f>
        <v/>
      </c>
    </row>
    <row r="6">
      <c r="A6" t="inlineStr">
        <is>
          <t>M4</t>
        </is>
      </c>
      <c r="B6" t="n">
        <v>81898.016382</v>
      </c>
      <c r="C6" t="n">
        <v>81898.016382</v>
      </c>
      <c r="D6" t="n">
        <v>75389.87317399999</v>
      </c>
      <c r="E6" t="n">
        <v>75389.87317399999</v>
      </c>
      <c r="F6" t="n">
        <v>70388.133015</v>
      </c>
      <c r="G6" t="n">
        <v>70388.133015</v>
      </c>
      <c r="H6" t="n">
        <v>67587.77925399999</v>
      </c>
      <c r="I6" t="n">
        <v>67587.77925399999</v>
      </c>
      <c r="J6">
        <f>I6-B6</f>
        <v/>
      </c>
      <c r="K6" t="n">
        <v>-9655.988643000001</v>
      </c>
      <c r="L6" t="n">
        <v>-4654.248485</v>
      </c>
      <c r="M6" t="n">
        <v>0</v>
      </c>
      <c r="N6">
        <f>SUM(K6:M6)</f>
        <v/>
      </c>
      <c r="O6">
        <f>J6-N6</f>
        <v/>
      </c>
    </row>
    <row r="7">
      <c r="A7" t="inlineStr">
        <is>
          <t>G1</t>
        </is>
      </c>
      <c r="B7" t="n">
        <v>6937.938285</v>
      </c>
      <c r="C7" t="n">
        <v>6937.938285</v>
      </c>
      <c r="D7" t="n">
        <v>3028.777602</v>
      </c>
      <c r="E7" t="n">
        <v>3028.777602</v>
      </c>
      <c r="F7" t="n">
        <v>6365.799509</v>
      </c>
      <c r="G7" t="n">
        <v>6365.799509</v>
      </c>
      <c r="H7" t="n">
        <v>3931.584883</v>
      </c>
      <c r="I7" t="n">
        <v>3931.584883</v>
      </c>
      <c r="J7">
        <f>I7-B7</f>
        <v/>
      </c>
      <c r="K7" t="n">
        <v>165.334252</v>
      </c>
      <c r="L7" t="n">
        <v>-3171.687655</v>
      </c>
      <c r="M7" t="n">
        <v>0</v>
      </c>
      <c r="N7">
        <f>SUM(K7:M7)</f>
        <v/>
      </c>
      <c r="O7">
        <f>J7-N7</f>
        <v/>
      </c>
    </row>
    <row r="8">
      <c r="A8" t="inlineStr">
        <is>
          <t>G2</t>
        </is>
      </c>
      <c r="B8" t="n">
        <v>6994.75492</v>
      </c>
      <c r="C8" t="n">
        <v>6994.75492</v>
      </c>
      <c r="D8" t="n">
        <v>3073.995625</v>
      </c>
      <c r="E8" t="n">
        <v>3073.995625</v>
      </c>
      <c r="F8" t="n">
        <v>6375.201789</v>
      </c>
      <c r="G8" t="n">
        <v>6375.201789</v>
      </c>
      <c r="H8" t="n">
        <v>3939.067771</v>
      </c>
      <c r="I8" t="n">
        <v>3939.067771</v>
      </c>
      <c r="J8">
        <f>I8-B8</f>
        <v/>
      </c>
      <c r="K8" t="n">
        <v>122.759507</v>
      </c>
      <c r="L8" t="n">
        <v>-3178.446656</v>
      </c>
      <c r="M8" t="n">
        <v>0</v>
      </c>
      <c r="N8">
        <f>SUM(K8:M8)</f>
        <v/>
      </c>
      <c r="O8">
        <f>J8-N8</f>
        <v/>
      </c>
    </row>
    <row r="9">
      <c r="A9" t="inlineStr">
        <is>
          <t>U1</t>
        </is>
      </c>
      <c r="B9" t="n">
        <v>22098.245852</v>
      </c>
      <c r="C9" t="n">
        <v>-470.908123</v>
      </c>
      <c r="D9" t="n">
        <v>5395.435679</v>
      </c>
      <c r="E9" t="n">
        <v>-12566.426012</v>
      </c>
      <c r="F9" t="n">
        <v>18920.851796</v>
      </c>
      <c r="G9" t="n">
        <v>-3648.302178</v>
      </c>
      <c r="H9" t="n">
        <v>4224.827402</v>
      </c>
      <c r="I9" t="n">
        <v>-13737.034289</v>
      </c>
      <c r="J9">
        <f>I9-B9</f>
        <v/>
      </c>
      <c r="K9" t="n">
        <v>-2174.001166</v>
      </c>
      <c r="L9" t="n">
        <v>-13395.771141</v>
      </c>
      <c r="M9" t="n">
        <v>-20265.507833</v>
      </c>
      <c r="N9">
        <f>SUM(K9:M9)</f>
        <v/>
      </c>
      <c r="O9">
        <f>J9-N9</f>
        <v/>
      </c>
    </row>
    <row r="10">
      <c r="A10" t="inlineStr">
        <is>
          <t>U2a</t>
        </is>
      </c>
      <c r="B10" t="n">
        <v>-45803.013445</v>
      </c>
      <c r="C10" t="n">
        <v>-63882.044816</v>
      </c>
      <c r="D10" t="n">
        <v>-48756.555314</v>
      </c>
      <c r="E10" t="n">
        <v>-63144.913042</v>
      </c>
      <c r="F10" t="n">
        <v>-51711.818784</v>
      </c>
      <c r="G10" t="n">
        <v>-69790.85015499999</v>
      </c>
      <c r="H10" t="n">
        <v>-52100.981528</v>
      </c>
      <c r="I10" t="n">
        <v>-66489.339255</v>
      </c>
      <c r="J10">
        <f>I10-B10</f>
        <v/>
      </c>
      <c r="K10" t="n">
        <v>-4626.615776</v>
      </c>
      <c r="L10" t="n">
        <v>173.984515</v>
      </c>
      <c r="M10" t="n">
        <v>-16233.694549</v>
      </c>
      <c r="N10">
        <f>SUM(K10:M10)</f>
        <v/>
      </c>
      <c r="O10">
        <f>J10-N10</f>
        <v/>
      </c>
    </row>
    <row r="11">
      <c r="A11" t="inlineStr">
        <is>
          <t>U2b</t>
        </is>
      </c>
      <c r="B11" t="n">
        <v>-12762.152825</v>
      </c>
      <c r="C11" t="n">
        <v>-30841.184196</v>
      </c>
      <c r="D11" t="n">
        <v>-15148.89796</v>
      </c>
      <c r="E11" t="n">
        <v>-29537.255687</v>
      </c>
      <c r="F11" t="n">
        <v>-18670.958164</v>
      </c>
      <c r="G11" t="n">
        <v>-36749.989536</v>
      </c>
      <c r="H11" t="n">
        <v>-18493.324173</v>
      </c>
      <c r="I11" t="n">
        <v>-32881.6819</v>
      </c>
      <c r="J11">
        <f>I11-B11</f>
        <v/>
      </c>
      <c r="K11" t="n">
        <v>-4626.615776</v>
      </c>
      <c r="L11" t="n">
        <v>740.78125</v>
      </c>
      <c r="M11" t="n">
        <v>-16233.694549</v>
      </c>
      <c r="N11">
        <f>SUM(K11:M11)</f>
        <v/>
      </c>
      <c r="O11">
        <f>J11-N11</f>
        <v/>
      </c>
    </row>
    <row r="12">
      <c r="A12" t="inlineStr">
        <is>
          <t>R1</t>
        </is>
      </c>
      <c r="B12" t="n">
        <v>-7663.1</v>
      </c>
      <c r="C12" t="n">
        <v>-7663.1</v>
      </c>
      <c r="D12" t="n">
        <v>-13090.8535</v>
      </c>
      <c r="E12" t="n">
        <v>-13090.8535</v>
      </c>
      <c r="F12" t="n">
        <v>-1136.13</v>
      </c>
      <c r="G12" t="n">
        <v>-1136.13</v>
      </c>
      <c r="H12" t="n">
        <v>-6487.44231</v>
      </c>
      <c r="I12" t="n">
        <v>-6487.44231</v>
      </c>
      <c r="J12">
        <f>I12-B12</f>
        <v/>
      </c>
      <c r="K12" t="n">
        <v>6565.190595</v>
      </c>
      <c r="L12" t="n">
        <v>-5389.532905</v>
      </c>
      <c r="M12" t="n">
        <v>0</v>
      </c>
      <c r="N12">
        <f>SUM(K12:M12)</f>
        <v/>
      </c>
      <c r="O12">
        <f>J12-N12</f>
        <v/>
      </c>
    </row>
    <row r="13">
      <c r="A13" t="inlineStr">
        <is>
          <t>R2</t>
        </is>
      </c>
      <c r="B13" t="n">
        <v>-7663.1</v>
      </c>
      <c r="C13" t="n">
        <v>-7663.1</v>
      </c>
      <c r="D13" t="n">
        <v>-13090.8535</v>
      </c>
      <c r="E13" t="n">
        <v>-13090.8535</v>
      </c>
      <c r="F13" t="n">
        <v>-1136.13</v>
      </c>
      <c r="G13" t="n">
        <v>-1136.13</v>
      </c>
      <c r="H13" t="n">
        <v>-6487.44231</v>
      </c>
      <c r="I13" t="n">
        <v>-6487.44231</v>
      </c>
      <c r="J13">
        <f>I13-B13</f>
        <v/>
      </c>
      <c r="K13" t="n">
        <v>6565.190595</v>
      </c>
      <c r="L13" t="n">
        <v>-5389.532905</v>
      </c>
      <c r="M13" t="n">
        <v>0</v>
      </c>
      <c r="N13">
        <f>SUM(K13:M13)</f>
        <v/>
      </c>
      <c r="O13">
        <f>J13-N13</f>
        <v/>
      </c>
    </row>
    <row r="14">
      <c r="A14" t="inlineStr">
        <is>
          <t>R3</t>
        </is>
      </c>
      <c r="B14" t="n">
        <v>-7468.332034</v>
      </c>
      <c r="C14" t="n">
        <v>-7468.332034</v>
      </c>
      <c r="D14" t="n">
        <v>-13021.655683</v>
      </c>
      <c r="E14" t="n">
        <v>-13021.655683</v>
      </c>
      <c r="F14" t="n">
        <v>-1090.752831</v>
      </c>
      <c r="G14" t="n">
        <v>-1090.752831</v>
      </c>
      <c r="H14" t="n">
        <v>-6477.018563</v>
      </c>
      <c r="I14" t="n">
        <v>-6477.018563</v>
      </c>
      <c r="J14">
        <f>I14-B14</f>
        <v/>
      </c>
      <c r="K14" t="n">
        <v>6461.108161</v>
      </c>
      <c r="L14" t="n">
        <v>-5469.794691</v>
      </c>
      <c r="M14" t="n">
        <v>0</v>
      </c>
      <c r="N14">
        <f>SUM(K14:M14)</f>
        <v/>
      </c>
      <c r="O14">
        <f>J14-N14</f>
        <v/>
      </c>
    </row>
    <row r="16">
      <c r="A16" t="inlineStr">
        <is>
          <t>Max abs closure</t>
        </is>
      </c>
      <c r="B16">
        <f>MAX(MAX(O2:O15),-MIN(O2:O15))</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33"/>
  <sheetViews>
    <sheetView workbookViewId="0">
      <pane ySplit="1" topLeftCell="A2" activePane="bottomLeft" state="frozen"/>
      <selection pane="bottomLeft" activeCell="A1" sqref="A1"/>
    </sheetView>
  </sheetViews>
  <sheetFormatPr baseColWidth="8" defaultRowHeight="15"/>
  <cols>
    <col width="9" customWidth="1" min="1" max="1"/>
    <col width="1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s>
  <sheetData>
    <row r="1">
      <c r="A1" s="1" t="inlineStr">
        <is>
          <t>Pathway</t>
        </is>
      </c>
      <c r="B1" s="1" t="inlineStr">
        <is>
          <t>Region</t>
        </is>
      </c>
      <c r="C1" s="1" t="inlineStr">
        <is>
          <t>EF_r</t>
        </is>
      </c>
      <c r="D1" s="1" t="inlineStr">
        <is>
          <t>F_r</t>
        </is>
      </c>
      <c r="E1" s="1" t="inlineStr">
        <is>
          <t>T_r</t>
        </is>
      </c>
      <c r="F1" s="1" t="inlineStr">
        <is>
          <t>s_cap</t>
        </is>
      </c>
      <c r="G1" s="1" t="inlineStr">
        <is>
          <t>b_fix</t>
        </is>
      </c>
      <c r="H1" s="1" t="inlineStr">
        <is>
          <t>b_steam + b_el</t>
        </is>
      </c>
      <c r="I1" s="1" t="inlineStr">
        <is>
          <t>phi</t>
        </is>
      </c>
      <c r="J1" s="1" t="inlineStr">
        <is>
          <t>Q_sub inside phi</t>
        </is>
      </c>
      <c r="K1" s="1" t="inlineStr">
        <is>
          <t>b_h2</t>
        </is>
      </c>
      <c r="L1" s="1" t="inlineStr">
        <is>
          <t>b_reag (R1)</t>
        </is>
      </c>
      <c r="M1" s="1" t="inlineStr">
        <is>
          <t>b_trans (R1)</t>
        </is>
      </c>
      <c r="N1" s="1" t="inlineStr">
        <is>
          <t>C_p residual</t>
        </is>
      </c>
      <c r="O1" s="1" t="inlineStr">
        <is>
          <t>Absolute (formula)</t>
        </is>
      </c>
      <c r="P1" s="1" t="inlineStr">
        <is>
          <t>Reference</t>
        </is>
      </c>
      <c r="Q1" s="1" t="inlineStr">
        <is>
          <t>Relative kt (formula)</t>
        </is>
      </c>
      <c r="R1" s="1" t="inlineStr">
        <is>
          <t>Fig.3 displayed kt</t>
        </is>
      </c>
      <c r="S1" s="1" t="inlineStr">
        <is>
          <t>Discrepancy (formula)</t>
        </is>
      </c>
    </row>
    <row r="2">
      <c r="A2" t="inlineStr">
        <is>
          <t>S0</t>
        </is>
      </c>
      <c r="B2" t="inlineStr">
        <is>
          <t>Chubu</t>
        </is>
      </c>
      <c r="C2" t="n">
        <v>0.393</v>
      </c>
      <c r="D2" t="n">
        <v>25673.6862</v>
      </c>
      <c r="E2" t="n">
        <v>74679.60649999999</v>
      </c>
      <c r="F2" t="n">
        <v>1.00078178</v>
      </c>
      <c r="G2" t="n">
        <v>-7406.871</v>
      </c>
      <c r="H2" t="n">
        <v>0</v>
      </c>
      <c r="I2" t="n">
        <v>25673.686202</v>
      </c>
      <c r="J2" t="n">
        <v>0</v>
      </c>
      <c r="K2" t="n">
        <v>0</v>
      </c>
      <c r="L2" t="n">
        <v>0</v>
      </c>
      <c r="M2" t="n">
        <v>0</v>
      </c>
      <c r="N2" t="n">
        <v>234.272255</v>
      </c>
      <c r="O2">
        <f>SUM(G2:I2,K2:N2)</f>
        <v/>
      </c>
      <c r="P2" t="n">
        <v>18501.087456</v>
      </c>
      <c r="Q2" t="inlineStr"/>
      <c r="R2" t="inlineStr"/>
      <c r="S2" t="inlineStr"/>
    </row>
    <row r="3">
      <c r="A3" t="inlineStr">
        <is>
          <t>S0</t>
        </is>
      </c>
      <c r="B3" t="inlineStr">
        <is>
          <t>Chugoku</t>
        </is>
      </c>
      <c r="C3" t="n">
        <v>0.5109999999999999</v>
      </c>
      <c r="D3" t="n">
        <v>23551.38</v>
      </c>
      <c r="E3" t="n">
        <v>74041.0497</v>
      </c>
      <c r="F3" t="n">
        <v>0.99222448</v>
      </c>
      <c r="G3" t="n">
        <v>-9630.816999999999</v>
      </c>
      <c r="H3" t="n">
        <v>0</v>
      </c>
      <c r="I3" t="n">
        <v>23551.379969</v>
      </c>
      <c r="J3" t="n">
        <v>0</v>
      </c>
      <c r="K3" t="n">
        <v>0</v>
      </c>
      <c r="L3" t="n">
        <v>0</v>
      </c>
      <c r="M3" t="n">
        <v>0</v>
      </c>
      <c r="N3" t="n">
        <v>234.272255</v>
      </c>
      <c r="O3">
        <f>SUM(G3:I3,K3:N3)</f>
        <v/>
      </c>
      <c r="P3" t="n">
        <v>14154.835224</v>
      </c>
      <c r="Q3" t="inlineStr"/>
      <c r="R3" t="inlineStr"/>
      <c r="S3" t="inlineStr"/>
    </row>
    <row r="4">
      <c r="A4" t="inlineStr">
        <is>
          <t>S0</t>
        </is>
      </c>
      <c r="B4" t="inlineStr">
        <is>
          <t>Hokkaido</t>
        </is>
      </c>
      <c r="C4" t="n">
        <v>0.532</v>
      </c>
      <c r="D4" t="n">
        <v>23563.041</v>
      </c>
      <c r="E4" t="n">
        <v>72980.73020000001</v>
      </c>
      <c r="F4" t="n">
        <v>0.97801513</v>
      </c>
      <c r="G4" t="n">
        <v>-10026.604</v>
      </c>
      <c r="H4" t="n">
        <v>0</v>
      </c>
      <c r="I4" t="n">
        <v>23563.040992</v>
      </c>
      <c r="J4" t="n">
        <v>0</v>
      </c>
      <c r="K4" t="n">
        <v>0</v>
      </c>
      <c r="L4" t="n">
        <v>0</v>
      </c>
      <c r="M4" t="n">
        <v>0</v>
      </c>
      <c r="N4" t="n">
        <v>234.272255</v>
      </c>
      <c r="O4">
        <f>SUM(G4:I4,K4:N4)</f>
        <v/>
      </c>
      <c r="P4" t="n">
        <v>13770.709247</v>
      </c>
      <c r="Q4" t="inlineStr"/>
      <c r="R4" t="inlineStr"/>
      <c r="S4" t="inlineStr"/>
    </row>
    <row r="5">
      <c r="A5" t="inlineStr">
        <is>
          <t>S0</t>
        </is>
      </c>
      <c r="B5" t="inlineStr">
        <is>
          <t>Hokuriku</t>
        </is>
      </c>
      <c r="C5" t="n">
        <v>0.481</v>
      </c>
      <c r="D5" t="n">
        <v>26482.1838</v>
      </c>
      <c r="E5" t="n">
        <v>75140.78630000001</v>
      </c>
      <c r="F5" t="n">
        <v>1.00696205</v>
      </c>
      <c r="G5" t="n">
        <v>-9065.406999999999</v>
      </c>
      <c r="H5" t="n">
        <v>0</v>
      </c>
      <c r="I5" t="n">
        <v>26482.183814</v>
      </c>
      <c r="J5" t="n">
        <v>0</v>
      </c>
      <c r="K5" t="n">
        <v>0</v>
      </c>
      <c r="L5" t="n">
        <v>0</v>
      </c>
      <c r="M5" t="n">
        <v>0</v>
      </c>
      <c r="N5" t="n">
        <v>234.272255</v>
      </c>
      <c r="O5">
        <f>SUM(G5:I5,K5:N5)</f>
        <v/>
      </c>
      <c r="P5" t="n">
        <v>17651.049069</v>
      </c>
      <c r="Q5" t="inlineStr"/>
      <c r="R5" t="inlineStr"/>
      <c r="S5" t="inlineStr"/>
    </row>
    <row r="6">
      <c r="A6" t="inlineStr">
        <is>
          <t>S0</t>
        </is>
      </c>
      <c r="B6" t="inlineStr">
        <is>
          <t>Kansai</t>
        </is>
      </c>
      <c r="C6" t="n">
        <v>0.401</v>
      </c>
      <c r="D6" t="n">
        <v>29121.4621</v>
      </c>
      <c r="E6" t="n">
        <v>74951.5843</v>
      </c>
      <c r="F6" t="n">
        <v>1.00442656</v>
      </c>
      <c r="G6" t="n">
        <v>-7557.647</v>
      </c>
      <c r="H6" t="n">
        <v>0</v>
      </c>
      <c r="I6" t="n">
        <v>29121.462078</v>
      </c>
      <c r="J6" t="n">
        <v>0</v>
      </c>
      <c r="K6" t="n">
        <v>0</v>
      </c>
      <c r="L6" t="n">
        <v>0</v>
      </c>
      <c r="M6" t="n">
        <v>0</v>
      </c>
      <c r="N6" t="n">
        <v>234.272255</v>
      </c>
      <c r="O6">
        <f>SUM(G6:I6,K6:N6)</f>
        <v/>
      </c>
      <c r="P6" t="n">
        <v>21798.087332</v>
      </c>
      <c r="Q6" t="inlineStr"/>
      <c r="R6" t="inlineStr"/>
      <c r="S6" t="inlineStr"/>
    </row>
    <row r="7">
      <c r="A7" t="inlineStr">
        <is>
          <t>S0</t>
        </is>
      </c>
      <c r="B7" t="inlineStr">
        <is>
          <t>Kyushu</t>
        </is>
      </c>
      <c r="C7" t="n">
        <v>0.402</v>
      </c>
      <c r="D7" t="n">
        <v>26567.698</v>
      </c>
      <c r="E7" t="n">
        <v>74541.6467</v>
      </c>
      <c r="F7" t="n">
        <v>0.99893298</v>
      </c>
      <c r="G7" t="n">
        <v>-7576.494</v>
      </c>
      <c r="H7" t="n">
        <v>0</v>
      </c>
      <c r="I7" t="n">
        <v>26567.697984</v>
      </c>
      <c r="J7" t="n">
        <v>0</v>
      </c>
      <c r="K7" t="n">
        <v>0</v>
      </c>
      <c r="L7" t="n">
        <v>0</v>
      </c>
      <c r="M7" t="n">
        <v>0</v>
      </c>
      <c r="N7" t="n">
        <v>234.272255</v>
      </c>
      <c r="O7">
        <f>SUM(G7:I7,K7:N7)</f>
        <v/>
      </c>
      <c r="P7" t="n">
        <v>19225.476239</v>
      </c>
      <c r="Q7" t="inlineStr"/>
      <c r="R7" t="inlineStr"/>
      <c r="S7" t="inlineStr"/>
    </row>
    <row r="8">
      <c r="A8" t="inlineStr">
        <is>
          <t>S0</t>
        </is>
      </c>
      <c r="B8" t="inlineStr">
        <is>
          <t>Okinawa</t>
        </is>
      </c>
      <c r="C8" t="n">
        <v>0.638</v>
      </c>
      <c r="D8" t="n">
        <v>30306.9994</v>
      </c>
      <c r="E8" t="n">
        <v>76153.8054</v>
      </c>
      <c r="F8" t="n">
        <v>1.02053753</v>
      </c>
      <c r="G8" t="n">
        <v>-12024.386</v>
      </c>
      <c r="H8" t="n">
        <v>0</v>
      </c>
      <c r="I8" t="n">
        <v>30306.999442</v>
      </c>
      <c r="J8" t="n">
        <v>0</v>
      </c>
      <c r="K8" t="n">
        <v>0</v>
      </c>
      <c r="L8" t="n">
        <v>0</v>
      </c>
      <c r="M8" t="n">
        <v>0</v>
      </c>
      <c r="N8" t="n">
        <v>234.272255</v>
      </c>
      <c r="O8">
        <f>SUM(G8:I8,K8:N8)</f>
        <v/>
      </c>
      <c r="P8" t="n">
        <v>18516.885697</v>
      </c>
      <c r="Q8" t="inlineStr"/>
      <c r="R8" t="inlineStr"/>
      <c r="S8" t="inlineStr"/>
    </row>
    <row r="9">
      <c r="A9" t="inlineStr">
        <is>
          <t>S0</t>
        </is>
      </c>
      <c r="B9" t="inlineStr">
        <is>
          <t>Shikoku</t>
        </is>
      </c>
      <c r="C9" t="n">
        <v>0.454</v>
      </c>
      <c r="D9" t="n">
        <v>25386.0476</v>
      </c>
      <c r="E9" t="n">
        <v>74230.25169999999</v>
      </c>
      <c r="F9" t="n">
        <v>0.99475997</v>
      </c>
      <c r="G9" t="n">
        <v>-8556.538</v>
      </c>
      <c r="H9" t="n">
        <v>0</v>
      </c>
      <c r="I9" t="n">
        <v>25386.047628</v>
      </c>
      <c r="J9" t="n">
        <v>0</v>
      </c>
      <c r="K9" t="n">
        <v>0</v>
      </c>
      <c r="L9" t="n">
        <v>0</v>
      </c>
      <c r="M9" t="n">
        <v>0</v>
      </c>
      <c r="N9" t="n">
        <v>234.272255</v>
      </c>
      <c r="O9">
        <f>SUM(G9:I9,K9:N9)</f>
        <v/>
      </c>
      <c r="P9" t="n">
        <v>17063.781883</v>
      </c>
      <c r="Q9" t="inlineStr"/>
      <c r="R9" t="inlineStr"/>
      <c r="S9" t="inlineStr"/>
    </row>
    <row r="10">
      <c r="A10" t="inlineStr">
        <is>
          <t>S0</t>
        </is>
      </c>
      <c r="B10" t="inlineStr">
        <is>
          <t>Tohoku</t>
        </is>
      </c>
      <c r="C10" t="n">
        <v>0.385</v>
      </c>
      <c r="D10" t="n">
        <v>26641.5511</v>
      </c>
      <c r="E10" t="n">
        <v>74683.5482</v>
      </c>
      <c r="F10" t="n">
        <v>1.0008346</v>
      </c>
      <c r="G10" t="n">
        <v>-7256.095</v>
      </c>
      <c r="H10" t="n">
        <v>0</v>
      </c>
      <c r="I10" t="n">
        <v>26641.551132</v>
      </c>
      <c r="J10" t="n">
        <v>0</v>
      </c>
      <c r="K10" t="n">
        <v>0</v>
      </c>
      <c r="L10" t="n">
        <v>0</v>
      </c>
      <c r="M10" t="n">
        <v>0</v>
      </c>
      <c r="N10" t="n">
        <v>234.272255</v>
      </c>
      <c r="O10">
        <f>SUM(G10:I10,K10:N10)</f>
        <v/>
      </c>
      <c r="P10" t="n">
        <v>19619.728387</v>
      </c>
      <c r="Q10" t="inlineStr"/>
      <c r="R10" t="inlineStr"/>
      <c r="S10" t="inlineStr"/>
    </row>
    <row r="11">
      <c r="A11" t="inlineStr">
        <is>
          <t>S0</t>
        </is>
      </c>
      <c r="B11" t="inlineStr">
        <is>
          <t>Tokyo</t>
        </is>
      </c>
      <c r="C11" t="n">
        <v>0.408</v>
      </c>
      <c r="D11" t="n">
        <v>27457.8228</v>
      </c>
      <c r="E11" t="n">
        <v>74809.6828</v>
      </c>
      <c r="F11" t="n">
        <v>1.00252493</v>
      </c>
      <c r="G11" t="n">
        <v>-7689.576</v>
      </c>
      <c r="H11" t="n">
        <v>0</v>
      </c>
      <c r="I11" t="n">
        <v>27457.82276</v>
      </c>
      <c r="J11" t="n">
        <v>0</v>
      </c>
      <c r="K11" t="n">
        <v>0</v>
      </c>
      <c r="L11" t="n">
        <v>0</v>
      </c>
      <c r="M11" t="n">
        <v>0</v>
      </c>
      <c r="N11" t="n">
        <v>234.272255</v>
      </c>
      <c r="O11">
        <f>SUM(G11:I11,K11:N11)</f>
        <v/>
      </c>
      <c r="P11" t="n">
        <v>20002.519015</v>
      </c>
      <c r="Q11" t="inlineStr"/>
      <c r="R11" t="inlineStr"/>
      <c r="S11" t="inlineStr"/>
    </row>
    <row r="12">
      <c r="A12" t="inlineStr">
        <is>
          <t>M1</t>
        </is>
      </c>
      <c r="B12" t="inlineStr">
        <is>
          <t>Chubu</t>
        </is>
      </c>
      <c r="C12" t="n">
        <v>0.393</v>
      </c>
      <c r="D12" t="n">
        <v>25673.6862</v>
      </c>
      <c r="E12" t="n">
        <v>74679.60649999999</v>
      </c>
      <c r="F12" t="n">
        <v>1.00078178</v>
      </c>
      <c r="G12" t="n">
        <v>-7406.871</v>
      </c>
      <c r="H12" t="n">
        <v>23549.088344</v>
      </c>
      <c r="I12" t="n">
        <v>5134.73724</v>
      </c>
      <c r="J12" t="n">
        <v>0</v>
      </c>
      <c r="K12" t="n">
        <v>0</v>
      </c>
      <c r="L12" t="n">
        <v>1058.054169</v>
      </c>
      <c r="M12" t="n">
        <v>5658.076868</v>
      </c>
      <c r="N12" t="n">
        <v>1092.663691</v>
      </c>
      <c r="O12">
        <f>SUM(G12:I12,K12:N12)</f>
        <v/>
      </c>
      <c r="P12" t="n">
        <v>18501.087456</v>
      </c>
      <c r="Q12">
        <f>(O12-P12)/1000</f>
        <v/>
      </c>
      <c r="R12" t="n">
        <v>10.585</v>
      </c>
      <c r="S12">
        <f>ABS(Q12-R12)</f>
        <v/>
      </c>
    </row>
    <row r="13">
      <c r="A13" t="inlineStr">
        <is>
          <t>M1</t>
        </is>
      </c>
      <c r="B13" t="inlineStr">
        <is>
          <t>Chugoku</t>
        </is>
      </c>
      <c r="C13" t="n">
        <v>0.5109999999999999</v>
      </c>
      <c r="D13" t="n">
        <v>23551.38</v>
      </c>
      <c r="E13" t="n">
        <v>74041.0497</v>
      </c>
      <c r="F13" t="n">
        <v>0.99222448</v>
      </c>
      <c r="G13" t="n">
        <v>-9630.816999999999</v>
      </c>
      <c r="H13" t="n">
        <v>30357.988723</v>
      </c>
      <c r="I13" t="n">
        <v>4710.275994</v>
      </c>
      <c r="J13" t="n">
        <v>0</v>
      </c>
      <c r="K13" t="n">
        <v>0</v>
      </c>
      <c r="L13" t="n">
        <v>1049.007152</v>
      </c>
      <c r="M13" t="n">
        <v>5609.696817</v>
      </c>
      <c r="N13" t="n">
        <v>1092.663691</v>
      </c>
      <c r="O13">
        <f>SUM(G13:I13,K13:N13)</f>
        <v/>
      </c>
      <c r="P13" t="n">
        <v>14154.835224</v>
      </c>
      <c r="Q13">
        <f>(O13-P13)/1000</f>
        <v/>
      </c>
      <c r="R13" t="n">
        <v>19.034</v>
      </c>
      <c r="S13">
        <f>ABS(Q13-R13)</f>
        <v/>
      </c>
    </row>
    <row r="14">
      <c r="A14" t="inlineStr">
        <is>
          <t>M1</t>
        </is>
      </c>
      <c r="B14" t="inlineStr">
        <is>
          <t>Hokkaido</t>
        </is>
      </c>
      <c r="C14" t="n">
        <v>0.532</v>
      </c>
      <c r="D14" t="n">
        <v>23563.041</v>
      </c>
      <c r="E14" t="n">
        <v>72980.73020000001</v>
      </c>
      <c r="F14" t="n">
        <v>0.97801513</v>
      </c>
      <c r="G14" t="n">
        <v>-10026.604</v>
      </c>
      <c r="H14" t="n">
        <v>31152.963358</v>
      </c>
      <c r="I14" t="n">
        <v>4712.608198</v>
      </c>
      <c r="J14" t="n">
        <v>0</v>
      </c>
      <c r="K14" t="n">
        <v>0</v>
      </c>
      <c r="L14" t="n">
        <v>1033.984637</v>
      </c>
      <c r="M14" t="n">
        <v>5529.36204</v>
      </c>
      <c r="N14" t="n">
        <v>1092.663691</v>
      </c>
      <c r="O14">
        <f>SUM(G14:I14,K14:N14)</f>
        <v/>
      </c>
      <c r="P14" t="n">
        <v>13770.709247</v>
      </c>
      <c r="Q14">
        <f>(O14-P14)/1000</f>
        <v/>
      </c>
      <c r="R14" t="n">
        <v>19.724</v>
      </c>
      <c r="S14">
        <f>ABS(Q14-R14)</f>
        <v/>
      </c>
    </row>
    <row r="15">
      <c r="A15" t="inlineStr">
        <is>
          <t>M1</t>
        </is>
      </c>
      <c r="B15" t="inlineStr">
        <is>
          <t>Hokuriku</t>
        </is>
      </c>
      <c r="C15" t="n">
        <v>0.481</v>
      </c>
      <c r="D15" t="n">
        <v>26482.1838</v>
      </c>
      <c r="E15" t="n">
        <v>75140.78630000001</v>
      </c>
      <c r="F15" t="n">
        <v>1.00696205</v>
      </c>
      <c r="G15" t="n">
        <v>-9065.406999999999</v>
      </c>
      <c r="H15" t="n">
        <v>29000.156384</v>
      </c>
      <c r="I15" t="n">
        <v>5296.436763</v>
      </c>
      <c r="J15" t="n">
        <v>0</v>
      </c>
      <c r="K15" t="n">
        <v>0</v>
      </c>
      <c r="L15" t="n">
        <v>1064.588125</v>
      </c>
      <c r="M15" t="n">
        <v>5693.018016</v>
      </c>
      <c r="N15" t="n">
        <v>1092.663691</v>
      </c>
      <c r="O15">
        <f>SUM(G15:I15,K15:N15)</f>
        <v/>
      </c>
      <c r="P15" t="n">
        <v>17651.049069</v>
      </c>
      <c r="Q15">
        <f>(O15-P15)/1000</f>
        <v/>
      </c>
      <c r="R15" t="n">
        <v>15.43</v>
      </c>
      <c r="S15">
        <f>ABS(Q15-R15)</f>
        <v/>
      </c>
    </row>
    <row r="16">
      <c r="A16" t="inlineStr">
        <is>
          <t>M1</t>
        </is>
      </c>
      <c r="B16" t="inlineStr">
        <is>
          <t>Kansai</t>
        </is>
      </c>
      <c r="C16" t="n">
        <v>0.401</v>
      </c>
      <c r="D16" t="n">
        <v>29121.4621</v>
      </c>
      <c r="E16" t="n">
        <v>74951.5843</v>
      </c>
      <c r="F16" t="n">
        <v>1.00442656</v>
      </c>
      <c r="G16" t="n">
        <v>-7557.647</v>
      </c>
      <c r="H16" t="n">
        <v>24115.969058</v>
      </c>
      <c r="I16" t="n">
        <v>5824.292416</v>
      </c>
      <c r="J16" t="n">
        <v>0</v>
      </c>
      <c r="K16" t="n">
        <v>0</v>
      </c>
      <c r="L16" t="n">
        <v>1061.907528</v>
      </c>
      <c r="M16" t="n">
        <v>5678.683186</v>
      </c>
      <c r="N16" t="n">
        <v>1092.663691</v>
      </c>
      <c r="O16">
        <f>SUM(G16:I16,K16:N16)</f>
        <v/>
      </c>
      <c r="P16" t="n">
        <v>21798.087332</v>
      </c>
      <c r="Q16">
        <f>(O16-P16)/1000</f>
        <v/>
      </c>
      <c r="R16" t="n">
        <v>8.417999999999999</v>
      </c>
      <c r="S16">
        <f>ABS(Q16-R16)</f>
        <v/>
      </c>
    </row>
    <row r="17">
      <c r="A17" t="inlineStr">
        <is>
          <t>M1</t>
        </is>
      </c>
      <c r="B17" t="inlineStr">
        <is>
          <t>Kyushu</t>
        </is>
      </c>
      <c r="C17" t="n">
        <v>0.402</v>
      </c>
      <c r="D17" t="n">
        <v>26567.698</v>
      </c>
      <c r="E17" t="n">
        <v>74541.6467</v>
      </c>
      <c r="F17" t="n">
        <v>0.99893298</v>
      </c>
      <c r="G17" t="n">
        <v>-7576.494</v>
      </c>
      <c r="H17" t="n">
        <v>24043.880638</v>
      </c>
      <c r="I17" t="n">
        <v>5313.539597</v>
      </c>
      <c r="J17" t="n">
        <v>0</v>
      </c>
      <c r="K17" t="n">
        <v>0</v>
      </c>
      <c r="L17" t="n">
        <v>1056.099567</v>
      </c>
      <c r="M17" t="n">
        <v>5647.624388</v>
      </c>
      <c r="N17" t="n">
        <v>1092.663691</v>
      </c>
      <c r="O17">
        <f>SUM(G17:I17,K17:N17)</f>
        <v/>
      </c>
      <c r="P17" t="n">
        <v>19225.476239</v>
      </c>
      <c r="Q17">
        <f>(O17-P17)/1000</f>
        <v/>
      </c>
      <c r="R17" t="n">
        <v>10.352</v>
      </c>
      <c r="S17">
        <f>ABS(Q17-R17)</f>
        <v/>
      </c>
    </row>
    <row r="18">
      <c r="A18" t="inlineStr">
        <is>
          <t>M1</t>
        </is>
      </c>
      <c r="B18" t="inlineStr">
        <is>
          <t>Okinawa</t>
        </is>
      </c>
      <c r="C18" t="n">
        <v>0.638</v>
      </c>
      <c r="D18" t="n">
        <v>30306.9994</v>
      </c>
      <c r="E18" t="n">
        <v>76153.8054</v>
      </c>
      <c r="F18" t="n">
        <v>1.02053753</v>
      </c>
      <c r="G18" t="n">
        <v>-12024.386</v>
      </c>
      <c r="H18" t="n">
        <v>38984.486347</v>
      </c>
      <c r="I18" t="n">
        <v>6061.399888</v>
      </c>
      <c r="J18" t="n">
        <v>0</v>
      </c>
      <c r="K18" t="n">
        <v>0</v>
      </c>
      <c r="L18" t="n">
        <v>1078.940491</v>
      </c>
      <c r="M18" t="n">
        <v>5769.769086</v>
      </c>
      <c r="N18" t="n">
        <v>1092.663691</v>
      </c>
      <c r="O18">
        <f>SUM(G18:I18,K18:N18)</f>
        <v/>
      </c>
      <c r="P18" t="n">
        <v>18516.885697</v>
      </c>
      <c r="Q18">
        <f>(O18-P18)/1000</f>
        <v/>
      </c>
      <c r="R18" t="n">
        <v>22.446</v>
      </c>
      <c r="S18">
        <f>ABS(Q18-R18)</f>
        <v/>
      </c>
    </row>
    <row r="19">
      <c r="A19" t="inlineStr">
        <is>
          <t>M1</t>
        </is>
      </c>
      <c r="B19" t="inlineStr">
        <is>
          <t>Shikoku</t>
        </is>
      </c>
      <c r="C19" t="n">
        <v>0.454</v>
      </c>
      <c r="D19" t="n">
        <v>25386.0476</v>
      </c>
      <c r="E19" t="n">
        <v>74230.25169999999</v>
      </c>
      <c r="F19" t="n">
        <v>0.99475997</v>
      </c>
      <c r="G19" t="n">
        <v>-8556.538</v>
      </c>
      <c r="H19" t="n">
        <v>27040.599383</v>
      </c>
      <c r="I19" t="n">
        <v>5077.209526</v>
      </c>
      <c r="J19" t="n">
        <v>0</v>
      </c>
      <c r="K19" t="n">
        <v>0</v>
      </c>
      <c r="L19" t="n">
        <v>1051.68775</v>
      </c>
      <c r="M19" t="n">
        <v>5624.031647</v>
      </c>
      <c r="N19" t="n">
        <v>1092.663691</v>
      </c>
      <c r="O19">
        <f>SUM(G19:I19,K19:N19)</f>
        <v/>
      </c>
      <c r="P19" t="n">
        <v>17063.781883</v>
      </c>
      <c r="Q19">
        <f>(O19-P19)/1000</f>
        <v/>
      </c>
      <c r="R19" t="n">
        <v>14.266</v>
      </c>
      <c r="S19">
        <f>ABS(Q19-R19)</f>
        <v/>
      </c>
    </row>
    <row r="20">
      <c r="A20" t="inlineStr">
        <is>
          <t>M1</t>
        </is>
      </c>
      <c r="B20" t="inlineStr">
        <is>
          <t>Tohoku</t>
        </is>
      </c>
      <c r="C20" t="n">
        <v>0.385</v>
      </c>
      <c r="D20" t="n">
        <v>26641.5511</v>
      </c>
      <c r="E20" t="n">
        <v>74683.5482</v>
      </c>
      <c r="F20" t="n">
        <v>1.0008346</v>
      </c>
      <c r="G20" t="n">
        <v>-7256.095</v>
      </c>
      <c r="H20" t="n">
        <v>23070.935245</v>
      </c>
      <c r="I20" t="n">
        <v>5328.310226</v>
      </c>
      <c r="J20" t="n">
        <v>0</v>
      </c>
      <c r="K20" t="n">
        <v>0</v>
      </c>
      <c r="L20" t="n">
        <v>1058.110015</v>
      </c>
      <c r="M20" t="n">
        <v>5658.375511</v>
      </c>
      <c r="N20" t="n">
        <v>1092.663691</v>
      </c>
      <c r="O20">
        <f>SUM(G20:I20,K20:N20)</f>
        <v/>
      </c>
      <c r="P20" t="n">
        <v>19619.728387</v>
      </c>
      <c r="Q20">
        <f>(O20-P20)/1000</f>
        <v/>
      </c>
      <c r="R20" t="n">
        <v>9.333</v>
      </c>
      <c r="S20">
        <f>ABS(Q20-R20)</f>
        <v/>
      </c>
    </row>
    <row r="21">
      <c r="A21" t="inlineStr">
        <is>
          <t>M1</t>
        </is>
      </c>
      <c r="B21" t="inlineStr">
        <is>
          <t>Tokyo</t>
        </is>
      </c>
      <c r="C21" t="n">
        <v>0.408</v>
      </c>
      <c r="D21" t="n">
        <v>27457.8228</v>
      </c>
      <c r="E21" t="n">
        <v>74809.6828</v>
      </c>
      <c r="F21" t="n">
        <v>1.00252493</v>
      </c>
      <c r="G21" t="n">
        <v>-7689.576</v>
      </c>
      <c r="H21" t="n">
        <v>24490.491693</v>
      </c>
      <c r="I21" t="n">
        <v>5491.564552</v>
      </c>
      <c r="J21" t="n">
        <v>0</v>
      </c>
      <c r="K21" t="n">
        <v>0</v>
      </c>
      <c r="L21" t="n">
        <v>1059.89708</v>
      </c>
      <c r="M21" t="n">
        <v>5667.932064</v>
      </c>
      <c r="N21" t="n">
        <v>1092.663691</v>
      </c>
      <c r="O21">
        <f>SUM(G21:I21,K21:N21)</f>
        <v/>
      </c>
      <c r="P21" t="n">
        <v>20002.519015</v>
      </c>
      <c r="Q21">
        <f>(O21-P21)/1000</f>
        <v/>
      </c>
      <c r="R21" t="n">
        <v>10.11</v>
      </c>
      <c r="S21">
        <f>ABS(Q21-R21)</f>
        <v/>
      </c>
    </row>
    <row r="22">
      <c r="A22" t="inlineStr">
        <is>
          <t>M2</t>
        </is>
      </c>
      <c r="B22" t="inlineStr">
        <is>
          <t>Chubu</t>
        </is>
      </c>
      <c r="C22" t="n">
        <v>0.393</v>
      </c>
      <c r="D22" t="n">
        <v>25673.6862</v>
      </c>
      <c r="E22" t="n">
        <v>74679.60649999999</v>
      </c>
      <c r="F22" t="n">
        <v>1.00078178</v>
      </c>
      <c r="G22" t="n">
        <v>-7406.871</v>
      </c>
      <c r="H22" t="n">
        <v>13541.037497</v>
      </c>
      <c r="I22" t="n">
        <v>3953.744738</v>
      </c>
      <c r="J22" t="n">
        <v>0</v>
      </c>
      <c r="K22" t="n">
        <v>0</v>
      </c>
      <c r="L22" t="n">
        <v>1058.054169</v>
      </c>
      <c r="M22" t="n">
        <v>8043.54713</v>
      </c>
      <c r="N22" t="n">
        <v>16413.913266</v>
      </c>
      <c r="O22">
        <f>SUM(G22:I22,K22:N22)</f>
        <v/>
      </c>
      <c r="P22" t="n">
        <v>18501.087456</v>
      </c>
      <c r="Q22">
        <f>(O22-P22)/1000</f>
        <v/>
      </c>
      <c r="R22" t="n">
        <v>17.102</v>
      </c>
      <c r="S22">
        <f>ABS(Q22-R22)</f>
        <v/>
      </c>
    </row>
    <row r="23">
      <c r="A23" t="inlineStr">
        <is>
          <t>M2</t>
        </is>
      </c>
      <c r="B23" t="inlineStr">
        <is>
          <t>Chugoku</t>
        </is>
      </c>
      <c r="C23" t="n">
        <v>0.5109999999999999</v>
      </c>
      <c r="D23" t="n">
        <v>23551.38</v>
      </c>
      <c r="E23" t="n">
        <v>74041.0497</v>
      </c>
      <c r="F23" t="n">
        <v>0.99222448</v>
      </c>
      <c r="G23" t="n">
        <v>-9630.816999999999</v>
      </c>
      <c r="H23" t="n">
        <v>17456.245339</v>
      </c>
      <c r="I23" t="n">
        <v>3626.909821</v>
      </c>
      <c r="J23" t="n">
        <v>0</v>
      </c>
      <c r="K23" t="n">
        <v>0</v>
      </c>
      <c r="L23" t="n">
        <v>1049.007152</v>
      </c>
      <c r="M23" t="n">
        <v>7974.769835</v>
      </c>
      <c r="N23" t="n">
        <v>16413.913266</v>
      </c>
      <c r="O23">
        <f>SUM(G23:I23,K23:N23)</f>
        <v/>
      </c>
      <c r="P23" t="n">
        <v>14154.835224</v>
      </c>
      <c r="Q23">
        <f>(O23-P23)/1000</f>
        <v/>
      </c>
      <c r="R23" t="n">
        <v>22.735</v>
      </c>
      <c r="S23">
        <f>ABS(Q23-R23)</f>
        <v/>
      </c>
    </row>
    <row r="24">
      <c r="A24" t="inlineStr">
        <is>
          <t>M2</t>
        </is>
      </c>
      <c r="B24" t="inlineStr">
        <is>
          <t>Hokkaido</t>
        </is>
      </c>
      <c r="C24" t="n">
        <v>0.532</v>
      </c>
      <c r="D24" t="n">
        <v>23563.041</v>
      </c>
      <c r="E24" t="n">
        <v>72980.73020000001</v>
      </c>
      <c r="F24" t="n">
        <v>0.97801513</v>
      </c>
      <c r="G24" t="n">
        <v>-10026.604</v>
      </c>
      <c r="H24" t="n">
        <v>17913.366277</v>
      </c>
      <c r="I24" t="n">
        <v>3628.705617</v>
      </c>
      <c r="J24" t="n">
        <v>0</v>
      </c>
      <c r="K24" t="n">
        <v>0</v>
      </c>
      <c r="L24" t="n">
        <v>1033.984637</v>
      </c>
      <c r="M24" t="n">
        <v>7860.56556</v>
      </c>
      <c r="N24" t="n">
        <v>16413.913266</v>
      </c>
      <c r="O24">
        <f>SUM(G24:I24,K24:N24)</f>
        <v/>
      </c>
      <c r="P24" t="n">
        <v>13770.709247</v>
      </c>
      <c r="Q24">
        <f>(O24-P24)/1000</f>
        <v/>
      </c>
      <c r="R24" t="n">
        <v>23.053</v>
      </c>
      <c r="S24">
        <f>ABS(Q24-R24)</f>
        <v/>
      </c>
    </row>
    <row r="25">
      <c r="A25" t="inlineStr">
        <is>
          <t>M2</t>
        </is>
      </c>
      <c r="B25" t="inlineStr">
        <is>
          <t>Hokuriku</t>
        </is>
      </c>
      <c r="C25" t="n">
        <v>0.481</v>
      </c>
      <c r="D25" t="n">
        <v>26482.1838</v>
      </c>
      <c r="E25" t="n">
        <v>75140.78630000001</v>
      </c>
      <c r="F25" t="n">
        <v>1.00696205</v>
      </c>
      <c r="G25" t="n">
        <v>-9065.406999999999</v>
      </c>
      <c r="H25" t="n">
        <v>16675.473772</v>
      </c>
      <c r="I25" t="n">
        <v>4078.253278</v>
      </c>
      <c r="J25" t="n">
        <v>0</v>
      </c>
      <c r="K25" t="n">
        <v>0</v>
      </c>
      <c r="L25" t="n">
        <v>1064.588125</v>
      </c>
      <c r="M25" t="n">
        <v>8093.219621</v>
      </c>
      <c r="N25" t="n">
        <v>16413.913266</v>
      </c>
      <c r="O25">
        <f>SUM(G25:I25,K25:N25)</f>
        <v/>
      </c>
      <c r="P25" t="n">
        <v>17651.049069</v>
      </c>
      <c r="Q25">
        <f>(O25-P25)/1000</f>
        <v/>
      </c>
      <c r="R25" t="n">
        <v>19.609</v>
      </c>
      <c r="S25">
        <f>ABS(Q25-R25)</f>
        <v/>
      </c>
    </row>
    <row r="26">
      <c r="A26" t="inlineStr">
        <is>
          <t>M2</t>
        </is>
      </c>
      <c r="B26" t="inlineStr">
        <is>
          <t>Kansai</t>
        </is>
      </c>
      <c r="C26" t="n">
        <v>0.401</v>
      </c>
      <c r="D26" t="n">
        <v>29121.4621</v>
      </c>
      <c r="E26" t="n">
        <v>74951.5843</v>
      </c>
      <c r="F26" t="n">
        <v>1.00442656</v>
      </c>
      <c r="G26" t="n">
        <v>-7557.647</v>
      </c>
      <c r="H26" t="n">
        <v>13867.001411</v>
      </c>
      <c r="I26" t="n">
        <v>4484.701829</v>
      </c>
      <c r="J26" t="n">
        <v>0</v>
      </c>
      <c r="K26" t="n">
        <v>0</v>
      </c>
      <c r="L26" t="n">
        <v>1061.907528</v>
      </c>
      <c r="M26" t="n">
        <v>8072.841163</v>
      </c>
      <c r="N26" t="n">
        <v>16413.913266</v>
      </c>
      <c r="O26">
        <f>SUM(G26:I26,K26:N26)</f>
        <v/>
      </c>
      <c r="P26" t="n">
        <v>21798.087332</v>
      </c>
      <c r="Q26">
        <f>(O26-P26)/1000</f>
        <v/>
      </c>
      <c r="R26" t="n">
        <v>14.545</v>
      </c>
      <c r="S26">
        <f>ABS(Q26-R26)</f>
        <v/>
      </c>
    </row>
    <row r="27">
      <c r="A27" t="inlineStr">
        <is>
          <t>M2</t>
        </is>
      </c>
      <c r="B27" t="inlineStr">
        <is>
          <t>Kyushu</t>
        </is>
      </c>
      <c r="C27" t="n">
        <v>0.402</v>
      </c>
      <c r="D27" t="n">
        <v>26567.698</v>
      </c>
      <c r="E27" t="n">
        <v>74541.6467</v>
      </c>
      <c r="F27" t="n">
        <v>0.99893298</v>
      </c>
      <c r="G27" t="n">
        <v>-7576.494</v>
      </c>
      <c r="H27" t="n">
        <v>13825.549616</v>
      </c>
      <c r="I27" t="n">
        <v>4091.422451</v>
      </c>
      <c r="J27" t="n">
        <v>0</v>
      </c>
      <c r="K27" t="n">
        <v>0</v>
      </c>
      <c r="L27" t="n">
        <v>1056.099567</v>
      </c>
      <c r="M27" t="n">
        <v>8028.687838</v>
      </c>
      <c r="N27" t="n">
        <v>16413.913266</v>
      </c>
      <c r="O27">
        <f>SUM(G27:I27,K27:N27)</f>
        <v/>
      </c>
      <c r="P27" t="n">
        <v>19225.476239</v>
      </c>
      <c r="Q27">
        <f>(O27-P27)/1000</f>
        <v/>
      </c>
      <c r="R27" t="n">
        <v>16.614</v>
      </c>
      <c r="S27">
        <f>ABS(Q27-R27)</f>
        <v/>
      </c>
    </row>
    <row r="28">
      <c r="A28" t="inlineStr">
        <is>
          <t>M2</t>
        </is>
      </c>
      <c r="B28" t="inlineStr">
        <is>
          <t>Okinawa</t>
        </is>
      </c>
      <c r="C28" t="n">
        <v>0.638</v>
      </c>
      <c r="D28" t="n">
        <v>30306.9994</v>
      </c>
      <c r="E28" t="n">
        <v>76153.8054</v>
      </c>
      <c r="F28" t="n">
        <v>1.02053753</v>
      </c>
      <c r="G28" t="n">
        <v>-12024.386</v>
      </c>
      <c r="H28" t="n">
        <v>22416.595654</v>
      </c>
      <c r="I28" t="n">
        <v>4667.274447</v>
      </c>
      <c r="J28" t="n">
        <v>0</v>
      </c>
      <c r="K28" t="n">
        <v>0</v>
      </c>
      <c r="L28" t="n">
        <v>1078.940491</v>
      </c>
      <c r="M28" t="n">
        <v>8202.32928</v>
      </c>
      <c r="N28" t="n">
        <v>16413.913266</v>
      </c>
      <c r="O28">
        <f>SUM(G28:I28,K28:N28)</f>
        <v/>
      </c>
      <c r="P28" t="n">
        <v>18516.885697</v>
      </c>
      <c r="Q28">
        <f>(O28-P28)/1000</f>
        <v/>
      </c>
      <c r="R28" t="n">
        <v>22.238</v>
      </c>
      <c r="S28">
        <f>ABS(Q28-R28)</f>
        <v/>
      </c>
    </row>
    <row r="29">
      <c r="A29" t="inlineStr">
        <is>
          <t>M2</t>
        </is>
      </c>
      <c r="B29" t="inlineStr">
        <is>
          <t>Shikoku</t>
        </is>
      </c>
      <c r="C29" t="n">
        <v>0.454</v>
      </c>
      <c r="D29" t="n">
        <v>25386.0476</v>
      </c>
      <c r="E29" t="n">
        <v>74230.25169999999</v>
      </c>
      <c r="F29" t="n">
        <v>0.99475997</v>
      </c>
      <c r="G29" t="n">
        <v>-8556.538</v>
      </c>
      <c r="H29" t="n">
        <v>15548.702559</v>
      </c>
      <c r="I29" t="n">
        <v>3909.448431</v>
      </c>
      <c r="J29" t="n">
        <v>0</v>
      </c>
      <c r="K29" t="n">
        <v>0</v>
      </c>
      <c r="L29" t="n">
        <v>1051.68775</v>
      </c>
      <c r="M29" t="n">
        <v>7995.148292</v>
      </c>
      <c r="N29" t="n">
        <v>16413.913266</v>
      </c>
      <c r="O29">
        <f>SUM(G29:I29,K29:N29)</f>
        <v/>
      </c>
      <c r="P29" t="n">
        <v>17063.781883</v>
      </c>
      <c r="Q29">
        <f>(O29-P29)/1000</f>
        <v/>
      </c>
      <c r="R29" t="n">
        <v>19.299</v>
      </c>
      <c r="S29">
        <f>ABS(Q29-R29)</f>
        <v/>
      </c>
    </row>
    <row r="30">
      <c r="A30" t="inlineStr">
        <is>
          <t>M2</t>
        </is>
      </c>
      <c r="B30" t="inlineStr">
        <is>
          <t>Tohoku</t>
        </is>
      </c>
      <c r="C30" t="n">
        <v>0.385</v>
      </c>
      <c r="D30" t="n">
        <v>26641.5511</v>
      </c>
      <c r="E30" t="n">
        <v>74683.5482</v>
      </c>
      <c r="F30" t="n">
        <v>1.0008346</v>
      </c>
      <c r="G30" t="n">
        <v>-7256.095</v>
      </c>
      <c r="H30" t="n">
        <v>13266.093137</v>
      </c>
      <c r="I30" t="n">
        <v>4102.795827</v>
      </c>
      <c r="J30" t="n">
        <v>0</v>
      </c>
      <c r="K30" t="n">
        <v>0</v>
      </c>
      <c r="L30" t="n">
        <v>1058.110015</v>
      </c>
      <c r="M30" t="n">
        <v>8043.971681</v>
      </c>
      <c r="N30" t="n">
        <v>16413.913266</v>
      </c>
      <c r="O30">
        <f>SUM(G30:I30,K30:N30)</f>
        <v/>
      </c>
      <c r="P30" t="n">
        <v>19619.728387</v>
      </c>
      <c r="Q30">
        <f>(O30-P30)/1000</f>
        <v/>
      </c>
      <c r="R30" t="n">
        <v>16.009</v>
      </c>
      <c r="S30">
        <f>ABS(Q30-R30)</f>
        <v/>
      </c>
    </row>
    <row r="31">
      <c r="A31" t="inlineStr">
        <is>
          <t>M2</t>
        </is>
      </c>
      <c r="B31" t="inlineStr">
        <is>
          <t>Tokyo</t>
        </is>
      </c>
      <c r="C31" t="n">
        <v>0.408</v>
      </c>
      <c r="D31" t="n">
        <v>27457.8228</v>
      </c>
      <c r="E31" t="n">
        <v>74809.6828</v>
      </c>
      <c r="F31" t="n">
        <v>1.00252493</v>
      </c>
      <c r="G31" t="n">
        <v>-7689.576</v>
      </c>
      <c r="H31" t="n">
        <v>14082.356883</v>
      </c>
      <c r="I31" t="n">
        <v>4228.501564</v>
      </c>
      <c r="J31" t="n">
        <v>0</v>
      </c>
      <c r="K31" t="n">
        <v>0</v>
      </c>
      <c r="L31" t="n">
        <v>1059.89708</v>
      </c>
      <c r="M31" t="n">
        <v>8057.55732</v>
      </c>
      <c r="N31" t="n">
        <v>16413.913266</v>
      </c>
      <c r="O31">
        <f>SUM(G31:I31,K31:N31)</f>
        <v/>
      </c>
      <c r="P31" t="n">
        <v>20002.519015</v>
      </c>
      <c r="Q31">
        <f>(O31-P31)/1000</f>
        <v/>
      </c>
      <c r="R31" t="n">
        <v>16.15</v>
      </c>
      <c r="S31">
        <f>ABS(Q31-R31)</f>
        <v/>
      </c>
    </row>
    <row r="32">
      <c r="A32" t="inlineStr">
        <is>
          <t>M3</t>
        </is>
      </c>
      <c r="B32" t="inlineStr">
        <is>
          <t>Chubu</t>
        </is>
      </c>
      <c r="C32" t="n">
        <v>0.393</v>
      </c>
      <c r="D32" t="n">
        <v>25673.6862</v>
      </c>
      <c r="E32" t="n">
        <v>74679.60649999999</v>
      </c>
      <c r="F32" t="n">
        <v>1.00078178</v>
      </c>
      <c r="G32" t="n">
        <v>-7406.871</v>
      </c>
      <c r="H32" t="n">
        <v>12133.26322</v>
      </c>
      <c r="I32" t="n">
        <v>5123.312205</v>
      </c>
      <c r="J32" t="n">
        <v>0</v>
      </c>
      <c r="K32" t="n">
        <v>0</v>
      </c>
      <c r="L32" t="n">
        <v>1058.054169</v>
      </c>
      <c r="M32" t="n">
        <v>336.955524</v>
      </c>
      <c r="N32" t="n">
        <v>28599.84189</v>
      </c>
      <c r="O32">
        <f>SUM(G32:I32,K32:N32)</f>
        <v/>
      </c>
      <c r="P32" t="n">
        <v>18501.087456</v>
      </c>
      <c r="Q32">
        <f>(O32-P32)/1000</f>
        <v/>
      </c>
      <c r="R32" t="n">
        <v>21.343</v>
      </c>
      <c r="S32">
        <f>ABS(Q32-R32)</f>
        <v/>
      </c>
    </row>
    <row r="33">
      <c r="A33" t="inlineStr">
        <is>
          <t>M3</t>
        </is>
      </c>
      <c r="B33" t="inlineStr">
        <is>
          <t>Chugoku</t>
        </is>
      </c>
      <c r="C33" t="n">
        <v>0.5109999999999999</v>
      </c>
      <c r="D33" t="n">
        <v>23551.38</v>
      </c>
      <c r="E33" t="n">
        <v>74041.0497</v>
      </c>
      <c r="F33" t="n">
        <v>0.99222448</v>
      </c>
      <c r="G33" t="n">
        <v>-9630.816999999999</v>
      </c>
      <c r="H33" t="n">
        <v>15641.43217</v>
      </c>
      <c r="I33" t="n">
        <v>4699.795405</v>
      </c>
      <c r="J33" t="n">
        <v>0</v>
      </c>
      <c r="K33" t="n">
        <v>0</v>
      </c>
      <c r="L33" t="n">
        <v>1049.007152</v>
      </c>
      <c r="M33" t="n">
        <v>334.074346</v>
      </c>
      <c r="N33" t="n">
        <v>28599.84189</v>
      </c>
      <c r="O33">
        <f>SUM(G33:I33,K33:N33)</f>
        <v/>
      </c>
      <c r="P33" t="n">
        <v>14154.835224</v>
      </c>
      <c r="Q33">
        <f>(O33-P33)/1000</f>
        <v/>
      </c>
      <c r="R33" t="n">
        <v>26.538</v>
      </c>
      <c r="S33">
        <f>ABS(Q33-R33)</f>
        <v/>
      </c>
    </row>
    <row r="34">
      <c r="A34" t="inlineStr">
        <is>
          <t>M3</t>
        </is>
      </c>
      <c r="B34" t="inlineStr">
        <is>
          <t>Hokkaido</t>
        </is>
      </c>
      <c r="C34" t="n">
        <v>0.532</v>
      </c>
      <c r="D34" t="n">
        <v>23563.041</v>
      </c>
      <c r="E34" t="n">
        <v>72980.73020000001</v>
      </c>
      <c r="F34" t="n">
        <v>0.97801513</v>
      </c>
      <c r="G34" t="n">
        <v>-10026.604</v>
      </c>
      <c r="H34" t="n">
        <v>16051.029194</v>
      </c>
      <c r="I34" t="n">
        <v>4702.122421</v>
      </c>
      <c r="J34" t="n">
        <v>0</v>
      </c>
      <c r="K34" t="n">
        <v>0</v>
      </c>
      <c r="L34" t="n">
        <v>1033.984637</v>
      </c>
      <c r="M34" t="n">
        <v>329.290168</v>
      </c>
      <c r="N34" t="n">
        <v>28599.84189</v>
      </c>
      <c r="O34">
        <f>SUM(G34:I34,K34:N34)</f>
        <v/>
      </c>
      <c r="P34" t="n">
        <v>13770.709247</v>
      </c>
      <c r="Q34">
        <f>(O34-P34)/1000</f>
        <v/>
      </c>
      <c r="R34" t="n">
        <v>26.919</v>
      </c>
      <c r="S34">
        <f>ABS(Q34-R34)</f>
        <v/>
      </c>
    </row>
    <row r="35">
      <c r="A35" t="inlineStr">
        <is>
          <t>M3</t>
        </is>
      </c>
      <c r="B35" t="inlineStr">
        <is>
          <t>Hokuriku</t>
        </is>
      </c>
      <c r="C35" t="n">
        <v>0.481</v>
      </c>
      <c r="D35" t="n">
        <v>26482.1838</v>
      </c>
      <c r="E35" t="n">
        <v>75140.78630000001</v>
      </c>
      <c r="F35" t="n">
        <v>1.00696205</v>
      </c>
      <c r="G35" t="n">
        <v>-9065.406999999999</v>
      </c>
      <c r="H35" t="n">
        <v>14941.832383</v>
      </c>
      <c r="I35" t="n">
        <v>5284.651938</v>
      </c>
      <c r="J35" t="n">
        <v>0</v>
      </c>
      <c r="K35" t="n">
        <v>0</v>
      </c>
      <c r="L35" t="n">
        <v>1064.588125</v>
      </c>
      <c r="M35" t="n">
        <v>339.036374</v>
      </c>
      <c r="N35" t="n">
        <v>28599.84189</v>
      </c>
      <c r="O35">
        <f>SUM(G35:I35,K35:N35)</f>
        <v/>
      </c>
      <c r="P35" t="n">
        <v>17651.049069</v>
      </c>
      <c r="Q35">
        <f>(O35-P35)/1000</f>
        <v/>
      </c>
      <c r="R35" t="n">
        <v>23.513</v>
      </c>
      <c r="S35">
        <f>ABS(Q35-R35)</f>
        <v/>
      </c>
    </row>
    <row r="36">
      <c r="A36" t="inlineStr">
        <is>
          <t>M3</t>
        </is>
      </c>
      <c r="B36" t="inlineStr">
        <is>
          <t>Kansai</t>
        </is>
      </c>
      <c r="C36" t="n">
        <v>0.401</v>
      </c>
      <c r="D36" t="n">
        <v>29121.4621</v>
      </c>
      <c r="E36" t="n">
        <v>74951.5843</v>
      </c>
      <c r="F36" t="n">
        <v>1.00442656</v>
      </c>
      <c r="G36" t="n">
        <v>-7557.647</v>
      </c>
      <c r="H36" t="n">
        <v>12425.338769</v>
      </c>
      <c r="I36" t="n">
        <v>5811.333087</v>
      </c>
      <c r="J36" t="n">
        <v>0</v>
      </c>
      <c r="K36" t="n">
        <v>0</v>
      </c>
      <c r="L36" t="n">
        <v>1061.907528</v>
      </c>
      <c r="M36" t="n">
        <v>338.182692</v>
      </c>
      <c r="N36" t="n">
        <v>28599.84189</v>
      </c>
      <c r="O36">
        <f>SUM(G36:I36,K36:N36)</f>
        <v/>
      </c>
      <c r="P36" t="n">
        <v>21798.087332</v>
      </c>
      <c r="Q36">
        <f>(O36-P36)/1000</f>
        <v/>
      </c>
      <c r="R36" t="n">
        <v>18.881</v>
      </c>
      <c r="S36">
        <f>ABS(Q36-R36)</f>
        <v/>
      </c>
    </row>
    <row r="37">
      <c r="A37" t="inlineStr">
        <is>
          <t>M3</t>
        </is>
      </c>
      <c r="B37" t="inlineStr">
        <is>
          <t>Kyushu</t>
        </is>
      </c>
      <c r="C37" t="n">
        <v>0.402</v>
      </c>
      <c r="D37" t="n">
        <v>26567.698</v>
      </c>
      <c r="E37" t="n">
        <v>74541.6467</v>
      </c>
      <c r="F37" t="n">
        <v>0.99893298</v>
      </c>
      <c r="G37" t="n">
        <v>-7576.494</v>
      </c>
      <c r="H37" t="n">
        <v>12388.196449</v>
      </c>
      <c r="I37" t="n">
        <v>5301.716718</v>
      </c>
      <c r="J37" t="n">
        <v>0</v>
      </c>
      <c r="K37" t="n">
        <v>0</v>
      </c>
      <c r="L37" t="n">
        <v>1056.099567</v>
      </c>
      <c r="M37" t="n">
        <v>336.333047</v>
      </c>
      <c r="N37" t="n">
        <v>28599.84189</v>
      </c>
      <c r="O37">
        <f>SUM(G37:I37,K37:N37)</f>
        <v/>
      </c>
      <c r="P37" t="n">
        <v>19225.476239</v>
      </c>
      <c r="Q37">
        <f>(O37-P37)/1000</f>
        <v/>
      </c>
      <c r="R37" t="n">
        <v>20.88</v>
      </c>
      <c r="S37">
        <f>ABS(Q37-R37)</f>
        <v/>
      </c>
    </row>
    <row r="38">
      <c r="A38" t="inlineStr">
        <is>
          <t>M3</t>
        </is>
      </c>
      <c r="B38" t="inlineStr">
        <is>
          <t>Okinawa</t>
        </is>
      </c>
      <c r="C38" t="n">
        <v>0.638</v>
      </c>
      <c r="D38" t="n">
        <v>30306.9994</v>
      </c>
      <c r="E38" t="n">
        <v>76153.8054</v>
      </c>
      <c r="F38" t="n">
        <v>1.02053753</v>
      </c>
      <c r="G38" t="n">
        <v>-12024.386</v>
      </c>
      <c r="H38" t="n">
        <v>20086.086876</v>
      </c>
      <c r="I38" t="n">
        <v>6047.912985</v>
      </c>
      <c r="J38" t="n">
        <v>0</v>
      </c>
      <c r="K38" t="n">
        <v>0</v>
      </c>
      <c r="L38" t="n">
        <v>1078.940491</v>
      </c>
      <c r="M38" t="n">
        <v>343.607132</v>
      </c>
      <c r="N38" t="n">
        <v>28599.84189</v>
      </c>
      <c r="O38">
        <f>SUM(G38:I38,K38:N38)</f>
        <v/>
      </c>
      <c r="P38" t="n">
        <v>18516.885697</v>
      </c>
      <c r="Q38">
        <f>(O38-P38)/1000</f>
        <v/>
      </c>
      <c r="R38" t="n">
        <v>25.615</v>
      </c>
      <c r="S38">
        <f>ABS(Q38-R38)</f>
        <v/>
      </c>
    </row>
    <row r="39">
      <c r="A39" t="inlineStr">
        <is>
          <t>M3</t>
        </is>
      </c>
      <c r="B39" t="inlineStr">
        <is>
          <t>Shikoku</t>
        </is>
      </c>
      <c r="C39" t="n">
        <v>0.454</v>
      </c>
      <c r="D39" t="n">
        <v>25386.0476</v>
      </c>
      <c r="E39" t="n">
        <v>74230.25169999999</v>
      </c>
      <c r="F39" t="n">
        <v>0.99475997</v>
      </c>
      <c r="G39" t="n">
        <v>-8556.538</v>
      </c>
      <c r="H39" t="n">
        <v>13932.204302</v>
      </c>
      <c r="I39" t="n">
        <v>5065.912492</v>
      </c>
      <c r="J39" t="n">
        <v>0</v>
      </c>
      <c r="K39" t="n">
        <v>0</v>
      </c>
      <c r="L39" t="n">
        <v>1051.68775</v>
      </c>
      <c r="M39" t="n">
        <v>334.928028</v>
      </c>
      <c r="N39" t="n">
        <v>28599.84189</v>
      </c>
      <c r="O39">
        <f>SUM(G39:I39,K39:N39)</f>
        <v/>
      </c>
      <c r="P39" t="n">
        <v>17063.781883</v>
      </c>
      <c r="Q39">
        <f>(O39-P39)/1000</f>
        <v/>
      </c>
      <c r="R39" t="n">
        <v>23.364</v>
      </c>
      <c r="S39">
        <f>ABS(Q39-R39)</f>
        <v/>
      </c>
    </row>
    <row r="40">
      <c r="A40" t="inlineStr">
        <is>
          <t>M3</t>
        </is>
      </c>
      <c r="B40" t="inlineStr">
        <is>
          <t>Tohoku</t>
        </is>
      </c>
      <c r="C40" t="n">
        <v>0.385</v>
      </c>
      <c r="D40" t="n">
        <v>26641.5511</v>
      </c>
      <c r="E40" t="n">
        <v>74683.5482</v>
      </c>
      <c r="F40" t="n">
        <v>1.0008346</v>
      </c>
      <c r="G40" t="n">
        <v>-7256.095</v>
      </c>
      <c r="H40" t="n">
        <v>11886.90305</v>
      </c>
      <c r="I40" t="n">
        <v>5316.454482</v>
      </c>
      <c r="J40" t="n">
        <v>0</v>
      </c>
      <c r="K40" t="n">
        <v>0</v>
      </c>
      <c r="L40" t="n">
        <v>1058.110015</v>
      </c>
      <c r="M40" t="n">
        <v>336.973309</v>
      </c>
      <c r="N40" t="n">
        <v>28599.84189</v>
      </c>
      <c r="O40">
        <f>SUM(G40:I40,K40:N40)</f>
        <v/>
      </c>
      <c r="P40" t="n">
        <v>19619.728387</v>
      </c>
      <c r="Q40">
        <f>(O40-P40)/1000</f>
        <v/>
      </c>
      <c r="R40" t="n">
        <v>20.322</v>
      </c>
      <c r="S40">
        <f>ABS(Q40-R40)</f>
        <v/>
      </c>
    </row>
    <row r="41">
      <c r="A41" t="inlineStr">
        <is>
          <t>M3</t>
        </is>
      </c>
      <c r="B41" t="inlineStr">
        <is>
          <t>Tokyo</t>
        </is>
      </c>
      <c r="C41" t="n">
        <v>0.408</v>
      </c>
      <c r="D41" t="n">
        <v>27457.8228</v>
      </c>
      <c r="E41" t="n">
        <v>74809.6828</v>
      </c>
      <c r="F41" t="n">
        <v>1.00252493</v>
      </c>
      <c r="G41" t="n">
        <v>-7689.576</v>
      </c>
      <c r="H41" t="n">
        <v>12618.305123</v>
      </c>
      <c r="I41" t="n">
        <v>5479.345559</v>
      </c>
      <c r="J41" t="n">
        <v>0</v>
      </c>
      <c r="K41" t="n">
        <v>0</v>
      </c>
      <c r="L41" t="n">
        <v>1059.89708</v>
      </c>
      <c r="M41" t="n">
        <v>337.54243</v>
      </c>
      <c r="N41" t="n">
        <v>28599.84189</v>
      </c>
      <c r="O41">
        <f>SUM(G41:I41,K41:N41)</f>
        <v/>
      </c>
      <c r="P41" t="n">
        <v>20002.519015</v>
      </c>
      <c r="Q41">
        <f>(O41-P41)/1000</f>
        <v/>
      </c>
      <c r="R41" t="n">
        <v>20.403</v>
      </c>
      <c r="S41">
        <f>ABS(Q41-R41)</f>
        <v/>
      </c>
    </row>
    <row r="42">
      <c r="A42" t="inlineStr">
        <is>
          <t>M4</t>
        </is>
      </c>
      <c r="B42" t="inlineStr">
        <is>
          <t>Chubu</t>
        </is>
      </c>
      <c r="C42" t="n">
        <v>0.393</v>
      </c>
      <c r="D42" t="n">
        <v>25673.6862</v>
      </c>
      <c r="E42" t="n">
        <v>74679.60649999999</v>
      </c>
      <c r="F42" t="n">
        <v>1.00078178</v>
      </c>
      <c r="G42" t="n">
        <v>-7406.871</v>
      </c>
      <c r="H42" t="n">
        <v>20236.798772</v>
      </c>
      <c r="I42" t="n">
        <v>2856.497528</v>
      </c>
      <c r="J42" t="n">
        <v>0</v>
      </c>
      <c r="K42" t="n">
        <v>0</v>
      </c>
      <c r="L42" t="n">
        <v>1058.054169</v>
      </c>
      <c r="M42" t="n">
        <v>306.411097</v>
      </c>
      <c r="N42" t="n">
        <v>63796.646615</v>
      </c>
      <c r="O42">
        <f>SUM(G42:I42,K42:N42)</f>
        <v/>
      </c>
      <c r="P42" t="n">
        <v>18501.087456</v>
      </c>
      <c r="Q42">
        <f>(O42-P42)/1000</f>
        <v/>
      </c>
      <c r="R42" t="n">
        <v>62.346</v>
      </c>
      <c r="S42">
        <f>ABS(Q42-R42)</f>
        <v/>
      </c>
    </row>
    <row r="43">
      <c r="A43" t="inlineStr">
        <is>
          <t>M4</t>
        </is>
      </c>
      <c r="B43" t="inlineStr">
        <is>
          <t>Chugoku</t>
        </is>
      </c>
      <c r="C43" t="n">
        <v>0.5109999999999999</v>
      </c>
      <c r="D43" t="n">
        <v>23551.38</v>
      </c>
      <c r="E43" t="n">
        <v>74041.0497</v>
      </c>
      <c r="F43" t="n">
        <v>0.99222448</v>
      </c>
      <c r="G43" t="n">
        <v>-9630.816999999999</v>
      </c>
      <c r="H43" t="n">
        <v>26087.995422</v>
      </c>
      <c r="I43" t="n">
        <v>2620.366165</v>
      </c>
      <c r="J43" t="n">
        <v>0</v>
      </c>
      <c r="K43" t="n">
        <v>0</v>
      </c>
      <c r="L43" t="n">
        <v>1049.007152</v>
      </c>
      <c r="M43" t="n">
        <v>303.791093</v>
      </c>
      <c r="N43" t="n">
        <v>63796.646615</v>
      </c>
      <c r="O43">
        <f>SUM(G43:I43,K43:N43)</f>
        <v/>
      </c>
      <c r="P43" t="n">
        <v>14154.835224</v>
      </c>
      <c r="Q43">
        <f>(O43-P43)/1000</f>
        <v/>
      </c>
      <c r="R43" t="n">
        <v>70.072</v>
      </c>
      <c r="S43">
        <f>ABS(Q43-R43)</f>
        <v/>
      </c>
    </row>
    <row r="44">
      <c r="A44" t="inlineStr">
        <is>
          <t>M4</t>
        </is>
      </c>
      <c r="B44" t="inlineStr">
        <is>
          <t>Hokkaido</t>
        </is>
      </c>
      <c r="C44" t="n">
        <v>0.532</v>
      </c>
      <c r="D44" t="n">
        <v>23563.041</v>
      </c>
      <c r="E44" t="n">
        <v>72980.73020000001</v>
      </c>
      <c r="F44" t="n">
        <v>0.97801513</v>
      </c>
      <c r="G44" t="n">
        <v>-10026.604</v>
      </c>
      <c r="H44" t="n">
        <v>26771.153151</v>
      </c>
      <c r="I44" t="n">
        <v>2621.66359</v>
      </c>
      <c r="J44" t="n">
        <v>0</v>
      </c>
      <c r="K44" t="n">
        <v>0</v>
      </c>
      <c r="L44" t="n">
        <v>1033.984637</v>
      </c>
      <c r="M44" t="n">
        <v>299.440593</v>
      </c>
      <c r="N44" t="n">
        <v>63796.646615</v>
      </c>
      <c r="O44">
        <f>SUM(G44:I44,K44:N44)</f>
        <v/>
      </c>
      <c r="P44" t="n">
        <v>13770.709247</v>
      </c>
      <c r="Q44">
        <f>(O44-P44)/1000</f>
        <v/>
      </c>
      <c r="R44" t="n">
        <v>70.726</v>
      </c>
      <c r="S44">
        <f>ABS(Q44-R44)</f>
        <v/>
      </c>
    </row>
    <row r="45">
      <c r="A45" t="inlineStr">
        <is>
          <t>M4</t>
        </is>
      </c>
      <c r="B45" t="inlineStr">
        <is>
          <t>Hokuriku</t>
        </is>
      </c>
      <c r="C45" t="n">
        <v>0.481</v>
      </c>
      <c r="D45" t="n">
        <v>26482.1838</v>
      </c>
      <c r="E45" t="n">
        <v>75140.78630000001</v>
      </c>
      <c r="F45" t="n">
        <v>1.00696205</v>
      </c>
      <c r="G45" t="n">
        <v>-9065.406999999999</v>
      </c>
      <c r="H45" t="n">
        <v>24921.148561</v>
      </c>
      <c r="I45" t="n">
        <v>2946.452333</v>
      </c>
      <c r="J45" t="n">
        <v>0</v>
      </c>
      <c r="K45" t="n">
        <v>0</v>
      </c>
      <c r="L45" t="n">
        <v>1064.588125</v>
      </c>
      <c r="M45" t="n">
        <v>308.303323</v>
      </c>
      <c r="N45" t="n">
        <v>63796.646615</v>
      </c>
      <c r="O45">
        <f>SUM(G45:I45,K45:N45)</f>
        <v/>
      </c>
      <c r="P45" t="n">
        <v>17651.049069</v>
      </c>
      <c r="Q45">
        <f>(O45-P45)/1000</f>
        <v/>
      </c>
      <c r="R45" t="n">
        <v>66.321</v>
      </c>
      <c r="S45">
        <f>ABS(Q45-R45)</f>
        <v/>
      </c>
    </row>
    <row r="46">
      <c r="A46" t="inlineStr">
        <is>
          <t>M4</t>
        </is>
      </c>
      <c r="B46" t="inlineStr">
        <is>
          <t>Kansai</t>
        </is>
      </c>
      <c r="C46" t="n">
        <v>0.401</v>
      </c>
      <c r="D46" t="n">
        <v>29121.4621</v>
      </c>
      <c r="E46" t="n">
        <v>74951.5843</v>
      </c>
      <c r="F46" t="n">
        <v>1.00442656</v>
      </c>
      <c r="G46" t="n">
        <v>-7557.647</v>
      </c>
      <c r="H46" t="n">
        <v>20723.945058</v>
      </c>
      <c r="I46" t="n">
        <v>3240.102873</v>
      </c>
      <c r="J46" t="n">
        <v>0</v>
      </c>
      <c r="K46" t="n">
        <v>0</v>
      </c>
      <c r="L46" t="n">
        <v>1061.907528</v>
      </c>
      <c r="M46" t="n">
        <v>307.527025</v>
      </c>
      <c r="N46" t="n">
        <v>63796.646615</v>
      </c>
      <c r="O46">
        <f>SUM(G46:I46,K46:N46)</f>
        <v/>
      </c>
      <c r="P46" t="n">
        <v>21798.087332</v>
      </c>
      <c r="Q46">
        <f>(O46-P46)/1000</f>
        <v/>
      </c>
      <c r="R46" t="n">
        <v>59.774</v>
      </c>
      <c r="S46">
        <f>ABS(Q46-R46)</f>
        <v/>
      </c>
    </row>
    <row r="47">
      <c r="A47" t="inlineStr">
        <is>
          <t>M4</t>
        </is>
      </c>
      <c r="B47" t="inlineStr">
        <is>
          <t>Kyushu</t>
        </is>
      </c>
      <c r="C47" t="n">
        <v>0.402</v>
      </c>
      <c r="D47" t="n">
        <v>26567.698</v>
      </c>
      <c r="E47" t="n">
        <v>74541.6467</v>
      </c>
      <c r="F47" t="n">
        <v>0.99893298</v>
      </c>
      <c r="G47" t="n">
        <v>-7576.494</v>
      </c>
      <c r="H47" t="n">
        <v>20661.996213</v>
      </c>
      <c r="I47" t="n">
        <v>2955.966783</v>
      </c>
      <c r="J47" t="n">
        <v>0</v>
      </c>
      <c r="K47" t="n">
        <v>0</v>
      </c>
      <c r="L47" t="n">
        <v>1056.099567</v>
      </c>
      <c r="M47" t="n">
        <v>305.845047</v>
      </c>
      <c r="N47" t="n">
        <v>63796.646615</v>
      </c>
      <c r="O47">
        <f>SUM(G47:I47,K47:N47)</f>
        <v/>
      </c>
      <c r="P47" t="n">
        <v>19225.476239</v>
      </c>
      <c r="Q47">
        <f>(O47-P47)/1000</f>
        <v/>
      </c>
      <c r="R47" t="n">
        <v>61.975</v>
      </c>
      <c r="S47">
        <f>ABS(Q47-R47)</f>
        <v/>
      </c>
    </row>
    <row r="48">
      <c r="A48" t="inlineStr">
        <is>
          <t>M4</t>
        </is>
      </c>
      <c r="B48" t="inlineStr">
        <is>
          <t>Okinawa</t>
        </is>
      </c>
      <c r="C48" t="n">
        <v>0.638</v>
      </c>
      <c r="D48" t="n">
        <v>30306.9994</v>
      </c>
      <c r="E48" t="n">
        <v>76153.8054</v>
      </c>
      <c r="F48" t="n">
        <v>1.02053753</v>
      </c>
      <c r="G48" t="n">
        <v>-12024.386</v>
      </c>
      <c r="H48" t="n">
        <v>33501.135751</v>
      </c>
      <c r="I48" t="n">
        <v>3372.007755</v>
      </c>
      <c r="J48" t="n">
        <v>0</v>
      </c>
      <c r="K48" t="n">
        <v>0</v>
      </c>
      <c r="L48" t="n">
        <v>1078.940491</v>
      </c>
      <c r="M48" t="n">
        <v>312.459749</v>
      </c>
      <c r="N48" t="n">
        <v>63796.646615</v>
      </c>
      <c r="O48">
        <f>SUM(G48:I48,K48:N48)</f>
        <v/>
      </c>
      <c r="P48" t="n">
        <v>18516.885697</v>
      </c>
      <c r="Q48">
        <f>(O48-P48)/1000</f>
        <v/>
      </c>
      <c r="R48" t="n">
        <v>71.52</v>
      </c>
      <c r="S48">
        <f>ABS(Q48-R48)</f>
        <v/>
      </c>
    </row>
    <row r="49">
      <c r="A49" t="inlineStr">
        <is>
          <t>M4</t>
        </is>
      </c>
      <c r="B49" t="inlineStr">
        <is>
          <t>Shikoku</t>
        </is>
      </c>
      <c r="C49" t="n">
        <v>0.454</v>
      </c>
      <c r="D49" t="n">
        <v>25386.0476</v>
      </c>
      <c r="E49" t="n">
        <v>74230.25169999999</v>
      </c>
      <c r="F49" t="n">
        <v>0.99475997</v>
      </c>
      <c r="G49" t="n">
        <v>-8556.538</v>
      </c>
      <c r="H49" t="n">
        <v>23237.21243</v>
      </c>
      <c r="I49" t="n">
        <v>2824.494376</v>
      </c>
      <c r="J49" t="n">
        <v>0</v>
      </c>
      <c r="K49" t="n">
        <v>0</v>
      </c>
      <c r="L49" t="n">
        <v>1051.68775</v>
      </c>
      <c r="M49" t="n">
        <v>304.567391</v>
      </c>
      <c r="N49" t="n">
        <v>63796.646615</v>
      </c>
      <c r="O49">
        <f>SUM(G49:I49,K49:N49)</f>
        <v/>
      </c>
      <c r="P49" t="n">
        <v>17063.781883</v>
      </c>
      <c r="Q49">
        <f>(O49-P49)/1000</f>
        <v/>
      </c>
      <c r="R49" t="n">
        <v>65.59399999999999</v>
      </c>
      <c r="S49">
        <f>ABS(Q49-R49)</f>
        <v/>
      </c>
    </row>
    <row r="50">
      <c r="A50" t="inlineStr">
        <is>
          <t>M4</t>
        </is>
      </c>
      <c r="B50" t="inlineStr">
        <is>
          <t>Tohoku</t>
        </is>
      </c>
      <c r="C50" t="n">
        <v>0.385</v>
      </c>
      <c r="D50" t="n">
        <v>26641.5511</v>
      </c>
      <c r="E50" t="n">
        <v>74683.5482</v>
      </c>
      <c r="F50" t="n">
        <v>1.0008346</v>
      </c>
      <c r="G50" t="n">
        <v>-7256.095</v>
      </c>
      <c r="H50" t="n">
        <v>19825.900146</v>
      </c>
      <c r="I50" t="n">
        <v>2964.183809</v>
      </c>
      <c r="J50" t="n">
        <v>0</v>
      </c>
      <c r="K50" t="n">
        <v>0</v>
      </c>
      <c r="L50" t="n">
        <v>1058.110015</v>
      </c>
      <c r="M50" t="n">
        <v>306.42727</v>
      </c>
      <c r="N50" t="n">
        <v>63796.646615</v>
      </c>
      <c r="O50">
        <f>SUM(G50:I50,K50:N50)</f>
        <v/>
      </c>
      <c r="P50" t="n">
        <v>19619.728387</v>
      </c>
      <c r="Q50">
        <f>(O50-P50)/1000</f>
        <v/>
      </c>
      <c r="R50" t="n">
        <v>61.075</v>
      </c>
      <c r="S50">
        <f>ABS(Q50-R50)</f>
        <v/>
      </c>
    </row>
    <row r="51">
      <c r="A51" t="inlineStr">
        <is>
          <t>M4</t>
        </is>
      </c>
      <c r="B51" t="inlineStr">
        <is>
          <t>Tokyo</t>
        </is>
      </c>
      <c r="C51" t="n">
        <v>0.408</v>
      </c>
      <c r="D51" t="n">
        <v>27457.8228</v>
      </c>
      <c r="E51" t="n">
        <v>74809.6828</v>
      </c>
      <c r="F51" t="n">
        <v>1.00252493</v>
      </c>
      <c r="G51" t="n">
        <v>-7689.576</v>
      </c>
      <c r="H51" t="n">
        <v>21045.789331</v>
      </c>
      <c r="I51" t="n">
        <v>3055.003564</v>
      </c>
      <c r="J51" t="n">
        <v>0</v>
      </c>
      <c r="K51" t="n">
        <v>0</v>
      </c>
      <c r="L51" t="n">
        <v>1059.89708</v>
      </c>
      <c r="M51" t="n">
        <v>306.944802</v>
      </c>
      <c r="N51" t="n">
        <v>63796.646615</v>
      </c>
      <c r="O51">
        <f>SUM(G51:I51,K51:N51)</f>
        <v/>
      </c>
      <c r="P51" t="n">
        <v>20002.519015</v>
      </c>
      <c r="Q51">
        <f>(O51-P51)/1000</f>
        <v/>
      </c>
      <c r="R51" t="n">
        <v>61.572</v>
      </c>
      <c r="S51">
        <f>ABS(Q51-R51)</f>
        <v/>
      </c>
    </row>
    <row r="52">
      <c r="A52" t="inlineStr">
        <is>
          <t>G1</t>
        </is>
      </c>
      <c r="B52" t="inlineStr">
        <is>
          <t>Chubu</t>
        </is>
      </c>
      <c r="C52" t="n">
        <v>0.393</v>
      </c>
      <c r="D52" t="n">
        <v>25673.6862</v>
      </c>
      <c r="E52" t="n">
        <v>74679.60649999999</v>
      </c>
      <c r="F52" t="n">
        <v>1.00078178</v>
      </c>
      <c r="G52" t="n">
        <v>-7406.871</v>
      </c>
      <c r="H52" t="n">
        <v>8050.129866</v>
      </c>
      <c r="I52" t="n">
        <v>2567.36862</v>
      </c>
      <c r="J52" t="n">
        <v>0</v>
      </c>
      <c r="K52" t="n">
        <v>0</v>
      </c>
      <c r="L52" t="n">
        <v>1058.054169</v>
      </c>
      <c r="M52" t="n">
        <v>1568.719813</v>
      </c>
      <c r="N52" t="n">
        <v>980.103476</v>
      </c>
      <c r="O52">
        <f>SUM(G52:I52,K52:N52)</f>
        <v/>
      </c>
      <c r="P52" t="n">
        <v>18501.087456</v>
      </c>
      <c r="Q52">
        <f>(O52-P52)/1000</f>
        <v/>
      </c>
      <c r="R52" t="n">
        <v>-11.684</v>
      </c>
      <c r="S52">
        <f>ABS(Q52-R52)</f>
        <v/>
      </c>
    </row>
    <row r="53">
      <c r="A53" t="inlineStr">
        <is>
          <t>G1</t>
        </is>
      </c>
      <c r="B53" t="inlineStr">
        <is>
          <t>Chugoku</t>
        </is>
      </c>
      <c r="C53" t="n">
        <v>0.5109999999999999</v>
      </c>
      <c r="D53" t="n">
        <v>23551.38</v>
      </c>
      <c r="E53" t="n">
        <v>74041.0497</v>
      </c>
      <c r="F53" t="n">
        <v>0.99222448</v>
      </c>
      <c r="G53" t="n">
        <v>-9630.816999999999</v>
      </c>
      <c r="H53" t="n">
        <v>10377.716034</v>
      </c>
      <c r="I53" t="n">
        <v>2355.137997</v>
      </c>
      <c r="J53" t="n">
        <v>0</v>
      </c>
      <c r="K53" t="n">
        <v>0</v>
      </c>
      <c r="L53" t="n">
        <v>1049.007152</v>
      </c>
      <c r="M53" t="n">
        <v>1555.30629</v>
      </c>
      <c r="N53" t="n">
        <v>980.103476</v>
      </c>
      <c r="O53">
        <f>SUM(G53:I53,K53:N53)</f>
        <v/>
      </c>
      <c r="P53" t="n">
        <v>14154.835224</v>
      </c>
      <c r="Q53">
        <f>(O53-P53)/1000</f>
        <v/>
      </c>
      <c r="R53" t="n">
        <v>-7.468</v>
      </c>
      <c r="S53">
        <f>ABS(Q53-R53)</f>
        <v/>
      </c>
    </row>
    <row r="54">
      <c r="A54" t="inlineStr">
        <is>
          <t>G1</t>
        </is>
      </c>
      <c r="B54" t="inlineStr">
        <is>
          <t>Hokkaido</t>
        </is>
      </c>
      <c r="C54" t="n">
        <v>0.532</v>
      </c>
      <c r="D54" t="n">
        <v>23563.041</v>
      </c>
      <c r="E54" t="n">
        <v>72980.73020000001</v>
      </c>
      <c r="F54" t="n">
        <v>0.97801513</v>
      </c>
      <c r="G54" t="n">
        <v>-10026.604</v>
      </c>
      <c r="H54" t="n">
        <v>10649.47386</v>
      </c>
      <c r="I54" t="n">
        <v>2356.304099</v>
      </c>
      <c r="J54" t="n">
        <v>0</v>
      </c>
      <c r="K54" t="n">
        <v>0</v>
      </c>
      <c r="L54" t="n">
        <v>1033.984637</v>
      </c>
      <c r="M54" t="n">
        <v>1533.033218</v>
      </c>
      <c r="N54" t="n">
        <v>980.103476</v>
      </c>
      <c r="O54">
        <f>SUM(G54:I54,K54:N54)</f>
        <v/>
      </c>
      <c r="P54" t="n">
        <v>13770.709247</v>
      </c>
      <c r="Q54">
        <f>(O54-P54)/1000</f>
        <v/>
      </c>
      <c r="R54" t="n">
        <v>-7.244</v>
      </c>
      <c r="S54">
        <f>ABS(Q54-R54)</f>
        <v/>
      </c>
    </row>
    <row r="55">
      <c r="A55" t="inlineStr">
        <is>
          <t>G1</t>
        </is>
      </c>
      <c r="B55" t="inlineStr">
        <is>
          <t>Hokuriku</t>
        </is>
      </c>
      <c r="C55" t="n">
        <v>0.481</v>
      </c>
      <c r="D55" t="n">
        <v>26482.1838</v>
      </c>
      <c r="E55" t="n">
        <v>75140.78630000001</v>
      </c>
      <c r="F55" t="n">
        <v>1.00696205</v>
      </c>
      <c r="G55" t="n">
        <v>-9065.406999999999</v>
      </c>
      <c r="H55" t="n">
        <v>9913.548312999999</v>
      </c>
      <c r="I55" t="n">
        <v>2648.218381</v>
      </c>
      <c r="J55" t="n">
        <v>0</v>
      </c>
      <c r="K55" t="n">
        <v>0</v>
      </c>
      <c r="L55" t="n">
        <v>1064.588125</v>
      </c>
      <c r="M55" t="n">
        <v>1578.407358</v>
      </c>
      <c r="N55" t="n">
        <v>980.103476</v>
      </c>
      <c r="O55">
        <f>SUM(G55:I55,K55:N55)</f>
        <v/>
      </c>
      <c r="P55" t="n">
        <v>17651.049069</v>
      </c>
      <c r="Q55">
        <f>(O55-P55)/1000</f>
        <v/>
      </c>
      <c r="R55" t="n">
        <v>-10.532</v>
      </c>
      <c r="S55">
        <f>ABS(Q55-R55)</f>
        <v/>
      </c>
    </row>
    <row r="56">
      <c r="A56" t="inlineStr">
        <is>
          <t>G1</t>
        </is>
      </c>
      <c r="B56" t="inlineStr">
        <is>
          <t>Kansai</t>
        </is>
      </c>
      <c r="C56" t="n">
        <v>0.401</v>
      </c>
      <c r="D56" t="n">
        <v>29121.4621</v>
      </c>
      <c r="E56" t="n">
        <v>74951.5843</v>
      </c>
      <c r="F56" t="n">
        <v>1.00442656</v>
      </c>
      <c r="G56" t="n">
        <v>-7557.647</v>
      </c>
      <c r="H56" t="n">
        <v>8243.915005000001</v>
      </c>
      <c r="I56" t="n">
        <v>2912.146208</v>
      </c>
      <c r="J56" t="n">
        <v>0</v>
      </c>
      <c r="K56" t="n">
        <v>0</v>
      </c>
      <c r="L56" t="n">
        <v>1061.907528</v>
      </c>
      <c r="M56" t="n">
        <v>1574.432981</v>
      </c>
      <c r="N56" t="n">
        <v>980.103476</v>
      </c>
      <c r="O56">
        <f>SUM(G56:I56,K56:N56)</f>
        <v/>
      </c>
      <c r="P56" t="n">
        <v>21798.087332</v>
      </c>
      <c r="Q56">
        <f>(O56-P56)/1000</f>
        <v/>
      </c>
      <c r="R56" t="n">
        <v>-14.583</v>
      </c>
      <c r="S56">
        <f>ABS(Q56-R56)</f>
        <v/>
      </c>
    </row>
    <row r="57">
      <c r="A57" t="inlineStr">
        <is>
          <t>G1</t>
        </is>
      </c>
      <c r="B57" t="inlineStr">
        <is>
          <t>Kyushu</t>
        </is>
      </c>
      <c r="C57" t="n">
        <v>0.402</v>
      </c>
      <c r="D57" t="n">
        <v>26567.698</v>
      </c>
      <c r="E57" t="n">
        <v>74541.6467</v>
      </c>
      <c r="F57" t="n">
        <v>0.99893298</v>
      </c>
      <c r="G57" t="n">
        <v>-7576.494</v>
      </c>
      <c r="H57" t="n">
        <v>8219.271965</v>
      </c>
      <c r="I57" t="n">
        <v>2656.769798</v>
      </c>
      <c r="J57" t="n">
        <v>0</v>
      </c>
      <c r="K57" t="n">
        <v>0</v>
      </c>
      <c r="L57" t="n">
        <v>1056.099567</v>
      </c>
      <c r="M57" t="n">
        <v>1565.82183</v>
      </c>
      <c r="N57" t="n">
        <v>980.103476</v>
      </c>
      <c r="O57">
        <f>SUM(G57:I57,K57:N57)</f>
        <v/>
      </c>
      <c r="P57" t="n">
        <v>19225.476239</v>
      </c>
      <c r="Q57">
        <f>(O57-P57)/1000</f>
        <v/>
      </c>
      <c r="R57" t="n">
        <v>-12.324</v>
      </c>
      <c r="S57">
        <f>ABS(Q57-R57)</f>
        <v/>
      </c>
    </row>
    <row r="58">
      <c r="A58" t="inlineStr">
        <is>
          <t>G1</t>
        </is>
      </c>
      <c r="B58" t="inlineStr">
        <is>
          <t>Okinawa</t>
        </is>
      </c>
      <c r="C58" t="n">
        <v>0.638</v>
      </c>
      <c r="D58" t="n">
        <v>30306.9994</v>
      </c>
      <c r="E58" t="n">
        <v>76153.8054</v>
      </c>
      <c r="F58" t="n">
        <v>1.02053753</v>
      </c>
      <c r="G58" t="n">
        <v>-12024.386</v>
      </c>
      <c r="H58" t="n">
        <v>13326.638096</v>
      </c>
      <c r="I58" t="n">
        <v>3030.699944</v>
      </c>
      <c r="J58" t="n">
        <v>0</v>
      </c>
      <c r="K58" t="n">
        <v>0</v>
      </c>
      <c r="L58" t="n">
        <v>1078.940491</v>
      </c>
      <c r="M58" t="n">
        <v>1599.686836</v>
      </c>
      <c r="N58" t="n">
        <v>980.103476</v>
      </c>
      <c r="O58">
        <f>SUM(G58:I58,K58:N58)</f>
        <v/>
      </c>
      <c r="P58" t="n">
        <v>18516.885697</v>
      </c>
      <c r="Q58">
        <f>(O58-P58)/1000</f>
        <v/>
      </c>
      <c r="R58" t="n">
        <v>-10.525</v>
      </c>
      <c r="S58">
        <f>ABS(Q58-R58)</f>
        <v/>
      </c>
    </row>
    <row r="59">
      <c r="A59" t="inlineStr">
        <is>
          <t>G1</t>
        </is>
      </c>
      <c r="B59" t="inlineStr">
        <is>
          <t>Shikoku</t>
        </is>
      </c>
      <c r="C59" t="n">
        <v>0.454</v>
      </c>
      <c r="D59" t="n">
        <v>25386.0476</v>
      </c>
      <c r="E59" t="n">
        <v>74230.25169999999</v>
      </c>
      <c r="F59" t="n">
        <v>0.99475997</v>
      </c>
      <c r="G59" t="n">
        <v>-8556.538</v>
      </c>
      <c r="H59" t="n">
        <v>9243.684235000001</v>
      </c>
      <c r="I59" t="n">
        <v>2538.604763</v>
      </c>
      <c r="J59" t="n">
        <v>0</v>
      </c>
      <c r="K59" t="n">
        <v>0</v>
      </c>
      <c r="L59" t="n">
        <v>1051.68775</v>
      </c>
      <c r="M59" t="n">
        <v>1559.280668</v>
      </c>
      <c r="N59" t="n">
        <v>980.103476</v>
      </c>
      <c r="O59">
        <f>SUM(G59:I59,K59:N59)</f>
        <v/>
      </c>
      <c r="P59" t="n">
        <v>17063.781883</v>
      </c>
      <c r="Q59">
        <f>(O59-P59)/1000</f>
        <v/>
      </c>
      <c r="R59" t="n">
        <v>-10.247</v>
      </c>
      <c r="S59">
        <f>ABS(Q59-R59)</f>
        <v/>
      </c>
    </row>
    <row r="60">
      <c r="A60" t="inlineStr">
        <is>
          <t>G1</t>
        </is>
      </c>
      <c r="B60" t="inlineStr">
        <is>
          <t>Tohoku</t>
        </is>
      </c>
      <c r="C60" t="n">
        <v>0.385</v>
      </c>
      <c r="D60" t="n">
        <v>26641.5511</v>
      </c>
      <c r="E60" t="n">
        <v>74683.5482</v>
      </c>
      <c r="F60" t="n">
        <v>1.0008346</v>
      </c>
      <c r="G60" t="n">
        <v>-7256.095</v>
      </c>
      <c r="H60" t="n">
        <v>7886.675787</v>
      </c>
      <c r="I60" t="n">
        <v>2664.155113</v>
      </c>
      <c r="J60" t="n">
        <v>0</v>
      </c>
      <c r="K60" t="n">
        <v>0</v>
      </c>
      <c r="L60" t="n">
        <v>1058.110015</v>
      </c>
      <c r="M60" t="n">
        <v>1568.802613</v>
      </c>
      <c r="N60" t="n">
        <v>980.103476</v>
      </c>
      <c r="O60">
        <f>SUM(G60:I60,K60:N60)</f>
        <v/>
      </c>
      <c r="P60" t="n">
        <v>19619.728387</v>
      </c>
      <c r="Q60">
        <f>(O60-P60)/1000</f>
        <v/>
      </c>
      <c r="R60" t="n">
        <v>-12.718</v>
      </c>
      <c r="S60">
        <f>ABS(Q60-R60)</f>
        <v/>
      </c>
    </row>
    <row r="61">
      <c r="A61" t="inlineStr">
        <is>
          <t>G1</t>
        </is>
      </c>
      <c r="B61" t="inlineStr">
        <is>
          <t>Tokyo</t>
        </is>
      </c>
      <c r="C61" t="n">
        <v>0.408</v>
      </c>
      <c r="D61" t="n">
        <v>27457.8228</v>
      </c>
      <c r="E61" t="n">
        <v>74809.6828</v>
      </c>
      <c r="F61" t="n">
        <v>1.00252493</v>
      </c>
      <c r="G61" t="n">
        <v>-7689.576</v>
      </c>
      <c r="H61" t="n">
        <v>8371.943563999999</v>
      </c>
      <c r="I61" t="n">
        <v>2745.782276</v>
      </c>
      <c r="J61" t="n">
        <v>0</v>
      </c>
      <c r="K61" t="n">
        <v>0</v>
      </c>
      <c r="L61" t="n">
        <v>1059.89708</v>
      </c>
      <c r="M61" t="n">
        <v>1571.452198</v>
      </c>
      <c r="N61" t="n">
        <v>980.103476</v>
      </c>
      <c r="O61">
        <f>SUM(G61:I61,K61:N61)</f>
        <v/>
      </c>
      <c r="P61" t="n">
        <v>20002.519015</v>
      </c>
      <c r="Q61">
        <f>(O61-P61)/1000</f>
        <v/>
      </c>
      <c r="R61" t="n">
        <v>-12.963</v>
      </c>
      <c r="S61">
        <f>ABS(Q61-R61)</f>
        <v/>
      </c>
    </row>
    <row r="62">
      <c r="A62" t="inlineStr">
        <is>
          <t>G2</t>
        </is>
      </c>
      <c r="B62" t="inlineStr">
        <is>
          <t>Chubu</t>
        </is>
      </c>
      <c r="C62" t="n">
        <v>0.393</v>
      </c>
      <c r="D62" t="n">
        <v>25673.6862</v>
      </c>
      <c r="E62" t="n">
        <v>74679.60649999999</v>
      </c>
      <c r="F62" t="n">
        <v>1.00078178</v>
      </c>
      <c r="G62" t="n">
        <v>-7406.871</v>
      </c>
      <c r="H62" t="n">
        <v>8102.95822</v>
      </c>
      <c r="I62" t="n">
        <v>2567.36862</v>
      </c>
      <c r="J62" t="n">
        <v>0</v>
      </c>
      <c r="K62" t="n">
        <v>0</v>
      </c>
      <c r="L62" t="n">
        <v>1058.054169</v>
      </c>
      <c r="M62" t="n">
        <v>1568.719813</v>
      </c>
      <c r="N62" t="n">
        <v>980.103476</v>
      </c>
      <c r="O62">
        <f>SUM(G62:I62,K62:N62)</f>
        <v/>
      </c>
      <c r="P62" t="n">
        <v>18501.087456</v>
      </c>
      <c r="Q62">
        <f>(O62-P62)/1000</f>
        <v/>
      </c>
      <c r="R62" t="n">
        <v>-11.631</v>
      </c>
      <c r="S62">
        <f>ABS(Q62-R62)</f>
        <v/>
      </c>
    </row>
    <row r="63">
      <c r="A63" t="inlineStr">
        <is>
          <t>G2</t>
        </is>
      </c>
      <c r="B63" t="inlineStr">
        <is>
          <t>Chugoku</t>
        </is>
      </c>
      <c r="C63" t="n">
        <v>0.5109999999999999</v>
      </c>
      <c r="D63" t="n">
        <v>23551.38</v>
      </c>
      <c r="E63" t="n">
        <v>74041.0497</v>
      </c>
      <c r="F63" t="n">
        <v>0.99222448</v>
      </c>
      <c r="G63" t="n">
        <v>-9630.816999999999</v>
      </c>
      <c r="H63" t="n">
        <v>10445.818991</v>
      </c>
      <c r="I63" t="n">
        <v>2355.137997</v>
      </c>
      <c r="J63" t="n">
        <v>0</v>
      </c>
      <c r="K63" t="n">
        <v>0</v>
      </c>
      <c r="L63" t="n">
        <v>1049.007152</v>
      </c>
      <c r="M63" t="n">
        <v>1555.30629</v>
      </c>
      <c r="N63" t="n">
        <v>980.103476</v>
      </c>
      <c r="O63">
        <f>SUM(G63:I63,K63:N63)</f>
        <v/>
      </c>
      <c r="P63" t="n">
        <v>14154.835224</v>
      </c>
      <c r="Q63">
        <f>(O63-P63)/1000</f>
        <v/>
      </c>
      <c r="R63" t="n">
        <v>-7.4</v>
      </c>
      <c r="S63">
        <f>ABS(Q63-R63)</f>
        <v/>
      </c>
    </row>
    <row r="64">
      <c r="A64" t="inlineStr">
        <is>
          <t>G2</t>
        </is>
      </c>
      <c r="B64" t="inlineStr">
        <is>
          <t>Hokkaido</t>
        </is>
      </c>
      <c r="C64" t="n">
        <v>0.532</v>
      </c>
      <c r="D64" t="n">
        <v>23563.041</v>
      </c>
      <c r="E64" t="n">
        <v>72980.73020000001</v>
      </c>
      <c r="F64" t="n">
        <v>0.97801513</v>
      </c>
      <c r="G64" t="n">
        <v>-10026.604</v>
      </c>
      <c r="H64" t="n">
        <v>10719.360207</v>
      </c>
      <c r="I64" t="n">
        <v>2356.304099</v>
      </c>
      <c r="J64" t="n">
        <v>0</v>
      </c>
      <c r="K64" t="n">
        <v>0</v>
      </c>
      <c r="L64" t="n">
        <v>1033.984637</v>
      </c>
      <c r="M64" t="n">
        <v>1533.033218</v>
      </c>
      <c r="N64" t="n">
        <v>980.103476</v>
      </c>
      <c r="O64">
        <f>SUM(G64:I64,K64:N64)</f>
        <v/>
      </c>
      <c r="P64" t="n">
        <v>13770.709247</v>
      </c>
      <c r="Q64">
        <f>(O64-P64)/1000</f>
        <v/>
      </c>
      <c r="R64" t="n">
        <v>-7.175</v>
      </c>
      <c r="S64">
        <f>ABS(Q64-R64)</f>
        <v/>
      </c>
    </row>
    <row r="65">
      <c r="A65" t="inlineStr">
        <is>
          <t>G2</t>
        </is>
      </c>
      <c r="B65" t="inlineStr">
        <is>
          <t>Hokuriku</t>
        </is>
      </c>
      <c r="C65" t="n">
        <v>0.481</v>
      </c>
      <c r="D65" t="n">
        <v>26482.1838</v>
      </c>
      <c r="E65" t="n">
        <v>75140.78630000001</v>
      </c>
      <c r="F65" t="n">
        <v>1.00696205</v>
      </c>
      <c r="G65" t="n">
        <v>-9065.406999999999</v>
      </c>
      <c r="H65" t="n">
        <v>9978.605206</v>
      </c>
      <c r="I65" t="n">
        <v>2648.218381</v>
      </c>
      <c r="J65" t="n">
        <v>0</v>
      </c>
      <c r="K65" t="n">
        <v>0</v>
      </c>
      <c r="L65" t="n">
        <v>1064.588125</v>
      </c>
      <c r="M65" t="n">
        <v>1578.407358</v>
      </c>
      <c r="N65" t="n">
        <v>980.103476</v>
      </c>
      <c r="O65">
        <f>SUM(G65:I65,K65:N65)</f>
        <v/>
      </c>
      <c r="P65" t="n">
        <v>17651.049069</v>
      </c>
      <c r="Q65">
        <f>(O65-P65)/1000</f>
        <v/>
      </c>
      <c r="R65" t="n">
        <v>-10.467</v>
      </c>
      <c r="S65">
        <f>ABS(Q65-R65)</f>
        <v/>
      </c>
    </row>
    <row r="66">
      <c r="A66" t="inlineStr">
        <is>
          <t>G2</t>
        </is>
      </c>
      <c r="B66" t="inlineStr">
        <is>
          <t>Kansai</t>
        </is>
      </c>
      <c r="C66" t="n">
        <v>0.401</v>
      </c>
      <c r="D66" t="n">
        <v>29121.4621</v>
      </c>
      <c r="E66" t="n">
        <v>74951.5843</v>
      </c>
      <c r="F66" t="n">
        <v>1.00442656</v>
      </c>
      <c r="G66" t="n">
        <v>-7557.647</v>
      </c>
      <c r="H66" t="n">
        <v>8298.015058999999</v>
      </c>
      <c r="I66" t="n">
        <v>2912.146208</v>
      </c>
      <c r="J66" t="n">
        <v>0</v>
      </c>
      <c r="K66" t="n">
        <v>0</v>
      </c>
      <c r="L66" t="n">
        <v>1061.907528</v>
      </c>
      <c r="M66" t="n">
        <v>1574.432981</v>
      </c>
      <c r="N66" t="n">
        <v>980.103476</v>
      </c>
      <c r="O66">
        <f>SUM(G66:I66,K66:N66)</f>
        <v/>
      </c>
      <c r="P66" t="n">
        <v>21798.087332</v>
      </c>
      <c r="Q66">
        <f>(O66-P66)/1000</f>
        <v/>
      </c>
      <c r="R66" t="n">
        <v>-14.529</v>
      </c>
      <c r="S66">
        <f>ABS(Q66-R66)</f>
        <v/>
      </c>
    </row>
    <row r="67">
      <c r="A67" t="inlineStr">
        <is>
          <t>G2</t>
        </is>
      </c>
      <c r="B67" t="inlineStr">
        <is>
          <t>Kyushu</t>
        </is>
      </c>
      <c r="C67" t="n">
        <v>0.402</v>
      </c>
      <c r="D67" t="n">
        <v>26567.698</v>
      </c>
      <c r="E67" t="n">
        <v>74541.6467</v>
      </c>
      <c r="F67" t="n">
        <v>0.99893298</v>
      </c>
      <c r="G67" t="n">
        <v>-7576.494</v>
      </c>
      <c r="H67" t="n">
        <v>8273.210300000001</v>
      </c>
      <c r="I67" t="n">
        <v>2656.769798</v>
      </c>
      <c r="J67" t="n">
        <v>0</v>
      </c>
      <c r="K67" t="n">
        <v>0</v>
      </c>
      <c r="L67" t="n">
        <v>1056.099567</v>
      </c>
      <c r="M67" t="n">
        <v>1565.82183</v>
      </c>
      <c r="N67" t="n">
        <v>980.103476</v>
      </c>
      <c r="O67">
        <f>SUM(G67:I67,K67:N67)</f>
        <v/>
      </c>
      <c r="P67" t="n">
        <v>19225.476239</v>
      </c>
      <c r="Q67">
        <f>(O67-P67)/1000</f>
        <v/>
      </c>
      <c r="R67" t="n">
        <v>-12.27</v>
      </c>
      <c r="S67">
        <f>ABS(Q67-R67)</f>
        <v/>
      </c>
    </row>
    <row r="68">
      <c r="A68" t="inlineStr">
        <is>
          <t>G2</t>
        </is>
      </c>
      <c r="B68" t="inlineStr">
        <is>
          <t>Okinawa</t>
        </is>
      </c>
      <c r="C68" t="n">
        <v>0.638</v>
      </c>
      <c r="D68" t="n">
        <v>30306.9994</v>
      </c>
      <c r="E68" t="n">
        <v>76153.8054</v>
      </c>
      <c r="F68" t="n">
        <v>1.02053753</v>
      </c>
      <c r="G68" t="n">
        <v>-12024.386</v>
      </c>
      <c r="H68" t="n">
        <v>13414.093126</v>
      </c>
      <c r="I68" t="n">
        <v>3030.699944</v>
      </c>
      <c r="J68" t="n">
        <v>0</v>
      </c>
      <c r="K68" t="n">
        <v>0</v>
      </c>
      <c r="L68" t="n">
        <v>1078.940491</v>
      </c>
      <c r="M68" t="n">
        <v>1599.686836</v>
      </c>
      <c r="N68" t="n">
        <v>980.103476</v>
      </c>
      <c r="O68">
        <f>SUM(G68:I68,K68:N68)</f>
        <v/>
      </c>
      <c r="P68" t="n">
        <v>18516.885697</v>
      </c>
      <c r="Q68">
        <f>(O68-P68)/1000</f>
        <v/>
      </c>
      <c r="R68" t="n">
        <v>-10.438</v>
      </c>
      <c r="S68">
        <f>ABS(Q68-R68)</f>
        <v/>
      </c>
    </row>
    <row r="69">
      <c r="A69" t="inlineStr">
        <is>
          <t>G2</t>
        </is>
      </c>
      <c r="B69" t="inlineStr">
        <is>
          <t>Shikoku</t>
        </is>
      </c>
      <c r="C69" t="n">
        <v>0.454</v>
      </c>
      <c r="D69" t="n">
        <v>25386.0476</v>
      </c>
      <c r="E69" t="n">
        <v>74230.25169999999</v>
      </c>
      <c r="F69" t="n">
        <v>0.99475997</v>
      </c>
      <c r="G69" t="n">
        <v>-8556.538</v>
      </c>
      <c r="H69" t="n">
        <v>9304.345197000001</v>
      </c>
      <c r="I69" t="n">
        <v>2538.604763</v>
      </c>
      <c r="J69" t="n">
        <v>0</v>
      </c>
      <c r="K69" t="n">
        <v>0</v>
      </c>
      <c r="L69" t="n">
        <v>1051.68775</v>
      </c>
      <c r="M69" t="n">
        <v>1559.280668</v>
      </c>
      <c r="N69" t="n">
        <v>980.103476</v>
      </c>
      <c r="O69">
        <f>SUM(G69:I69,K69:N69)</f>
        <v/>
      </c>
      <c r="P69" t="n">
        <v>17063.781883</v>
      </c>
      <c r="Q69">
        <f>(O69-P69)/1000</f>
        <v/>
      </c>
      <c r="R69" t="n">
        <v>-10.186</v>
      </c>
      <c r="S69">
        <f>ABS(Q69-R69)</f>
        <v/>
      </c>
    </row>
    <row r="70">
      <c r="A70" t="inlineStr">
        <is>
          <t>G2</t>
        </is>
      </c>
      <c r="B70" t="inlineStr">
        <is>
          <t>Tohoku</t>
        </is>
      </c>
      <c r="C70" t="n">
        <v>0.385</v>
      </c>
      <c r="D70" t="n">
        <v>26641.5511</v>
      </c>
      <c r="E70" t="n">
        <v>74683.5482</v>
      </c>
      <c r="F70" t="n">
        <v>1.0008346</v>
      </c>
      <c r="G70" t="n">
        <v>-7256.095</v>
      </c>
      <c r="H70" t="n">
        <v>7938.431486</v>
      </c>
      <c r="I70" t="n">
        <v>2664.155113</v>
      </c>
      <c r="J70" t="n">
        <v>0</v>
      </c>
      <c r="K70" t="n">
        <v>0</v>
      </c>
      <c r="L70" t="n">
        <v>1058.110015</v>
      </c>
      <c r="M70" t="n">
        <v>1568.802613</v>
      </c>
      <c r="N70" t="n">
        <v>980.103476</v>
      </c>
      <c r="O70">
        <f>SUM(G70:I70,K70:N70)</f>
        <v/>
      </c>
      <c r="P70" t="n">
        <v>19619.728387</v>
      </c>
      <c r="Q70">
        <f>(O70-P70)/1000</f>
        <v/>
      </c>
      <c r="R70" t="n">
        <v>-12.666</v>
      </c>
      <c r="S70">
        <f>ABS(Q70-R70)</f>
        <v/>
      </c>
    </row>
    <row r="71">
      <c r="A71" t="inlineStr">
        <is>
          <t>G2</t>
        </is>
      </c>
      <c r="B71" t="inlineStr">
        <is>
          <t>Tokyo</t>
        </is>
      </c>
      <c r="C71" t="n">
        <v>0.408</v>
      </c>
      <c r="D71" t="n">
        <v>27457.8228</v>
      </c>
      <c r="E71" t="n">
        <v>74809.6828</v>
      </c>
      <c r="F71" t="n">
        <v>1.00252493</v>
      </c>
      <c r="G71" t="n">
        <v>-7689.576</v>
      </c>
      <c r="H71" t="n">
        <v>8426.883795</v>
      </c>
      <c r="I71" t="n">
        <v>2745.782276</v>
      </c>
      <c r="J71" t="n">
        <v>0</v>
      </c>
      <c r="K71" t="n">
        <v>0</v>
      </c>
      <c r="L71" t="n">
        <v>1059.89708</v>
      </c>
      <c r="M71" t="n">
        <v>1571.452198</v>
      </c>
      <c r="N71" t="n">
        <v>980.103476</v>
      </c>
      <c r="O71">
        <f>SUM(G71:I71,K71:N71)</f>
        <v/>
      </c>
      <c r="P71" t="n">
        <v>20002.519015</v>
      </c>
      <c r="Q71">
        <f>(O71-P71)/1000</f>
        <v/>
      </c>
      <c r="R71" t="n">
        <v>-12.908</v>
      </c>
      <c r="S71">
        <f>ABS(Q71-R71)</f>
        <v/>
      </c>
    </row>
    <row r="72">
      <c r="A72" t="inlineStr">
        <is>
          <t>U1</t>
        </is>
      </c>
      <c r="B72" t="inlineStr">
        <is>
          <t>Chubu</t>
        </is>
      </c>
      <c r="C72" t="n">
        <v>0.393</v>
      </c>
      <c r="D72" t="n">
        <v>25673.6862</v>
      </c>
      <c r="E72" t="n">
        <v>74679.60649999999</v>
      </c>
      <c r="F72" t="n">
        <v>1.00078178</v>
      </c>
      <c r="G72" t="n">
        <v>-7406.871</v>
      </c>
      <c r="H72" t="n">
        <v>10952.86573</v>
      </c>
      <c r="I72" t="n">
        <v>-49385.260751</v>
      </c>
      <c r="J72" t="n">
        <v>-53466.491557</v>
      </c>
      <c r="K72" t="n">
        <v>64370.424141</v>
      </c>
      <c r="L72" t="n">
        <v>1058.054169</v>
      </c>
      <c r="M72" t="n">
        <v>450.318027</v>
      </c>
      <c r="N72" t="n">
        <v>980.103476</v>
      </c>
      <c r="O72">
        <f>SUM(G72:I72,K72:N72)</f>
        <v/>
      </c>
      <c r="P72" t="n">
        <v>18501.087456</v>
      </c>
      <c r="Q72">
        <f>(O72-P72)/1000</f>
        <v/>
      </c>
      <c r="R72" t="n">
        <v>2.519</v>
      </c>
      <c r="S72">
        <f>ABS(Q72-R72)</f>
        <v/>
      </c>
    </row>
    <row r="73">
      <c r="A73" t="inlineStr">
        <is>
          <t>U1</t>
        </is>
      </c>
      <c r="B73" t="inlineStr">
        <is>
          <t>Chugoku</t>
        </is>
      </c>
      <c r="C73" t="n">
        <v>0.5109999999999999</v>
      </c>
      <c r="D73" t="n">
        <v>23551.38</v>
      </c>
      <c r="E73" t="n">
        <v>74041.0497</v>
      </c>
      <c r="F73" t="n">
        <v>0.99222448</v>
      </c>
      <c r="G73" t="n">
        <v>-9630.816999999999</v>
      </c>
      <c r="H73" t="n">
        <v>14119.738712</v>
      </c>
      <c r="I73" t="n">
        <v>-50885.366033</v>
      </c>
      <c r="J73" t="n">
        <v>-54629.223331</v>
      </c>
      <c r="K73" t="n">
        <v>63820.017263</v>
      </c>
      <c r="L73" t="n">
        <v>1049.007152</v>
      </c>
      <c r="M73" t="n">
        <v>446.46753</v>
      </c>
      <c r="N73" t="n">
        <v>980.103476</v>
      </c>
      <c r="O73">
        <f>SUM(G73:I73,K73:N73)</f>
        <v/>
      </c>
      <c r="P73" t="n">
        <v>14154.835224</v>
      </c>
      <c r="Q73">
        <f>(O73-P73)/1000</f>
        <v/>
      </c>
      <c r="R73" t="n">
        <v>5.744</v>
      </c>
      <c r="S73">
        <f>ABS(Q73-R73)</f>
        <v/>
      </c>
    </row>
    <row r="74">
      <c r="A74" t="inlineStr">
        <is>
          <t>U1</t>
        </is>
      </c>
      <c r="B74" t="inlineStr">
        <is>
          <t>Hokkaido</t>
        </is>
      </c>
      <c r="C74" t="n">
        <v>0.532</v>
      </c>
      <c r="D74" t="n">
        <v>23563.041</v>
      </c>
      <c r="E74" t="n">
        <v>72980.73020000001</v>
      </c>
      <c r="F74" t="n">
        <v>0.97801513</v>
      </c>
      <c r="G74" t="n">
        <v>-10026.604</v>
      </c>
      <c r="H74" t="n">
        <v>14489.487651</v>
      </c>
      <c r="I74" t="n">
        <v>-49804.124663</v>
      </c>
      <c r="J74" t="n">
        <v>-53549.835662</v>
      </c>
      <c r="K74" t="n">
        <v>62906.070039</v>
      </c>
      <c r="L74" t="n">
        <v>1033.984637</v>
      </c>
      <c r="M74" t="n">
        <v>440.073803</v>
      </c>
      <c r="N74" t="n">
        <v>980.103476</v>
      </c>
      <c r="O74">
        <f>SUM(G74:I74,K74:N74)</f>
        <v/>
      </c>
      <c r="P74" t="n">
        <v>13770.709247</v>
      </c>
      <c r="Q74">
        <f>(O74-P74)/1000</f>
        <v/>
      </c>
      <c r="R74" t="n">
        <v>6.248</v>
      </c>
      <c r="S74">
        <f>ABS(Q74-R74)</f>
        <v/>
      </c>
    </row>
    <row r="75">
      <c r="A75" t="inlineStr">
        <is>
          <t>U1</t>
        </is>
      </c>
      <c r="B75" t="inlineStr">
        <is>
          <t>Hokuriku</t>
        </is>
      </c>
      <c r="C75" t="n">
        <v>0.481</v>
      </c>
      <c r="D75" t="n">
        <v>26482.1838</v>
      </c>
      <c r="E75" t="n">
        <v>75140.78630000001</v>
      </c>
      <c r="F75" t="n">
        <v>1.00696205</v>
      </c>
      <c r="G75" t="n">
        <v>-9065.406999999999</v>
      </c>
      <c r="H75" t="n">
        <v>13488.200239</v>
      </c>
      <c r="I75" t="n">
        <v>-49033.590856</v>
      </c>
      <c r="J75" t="n">
        <v>-53243.344903</v>
      </c>
      <c r="K75" t="n">
        <v>64767.940219</v>
      </c>
      <c r="L75" t="n">
        <v>1064.588125</v>
      </c>
      <c r="M75" t="n">
        <v>453.098942</v>
      </c>
      <c r="N75" t="n">
        <v>980.103476</v>
      </c>
      <c r="O75">
        <f>SUM(G75:I75,K75:N75)</f>
        <v/>
      </c>
      <c r="P75" t="n">
        <v>17651.049069</v>
      </c>
      <c r="Q75">
        <f>(O75-P75)/1000</f>
        <v/>
      </c>
      <c r="R75" t="n">
        <v>5.004</v>
      </c>
      <c r="S75">
        <f>ABS(Q75-R75)</f>
        <v/>
      </c>
    </row>
    <row r="76">
      <c r="A76" t="inlineStr">
        <is>
          <t>U1</t>
        </is>
      </c>
      <c r="B76" t="inlineStr">
        <is>
          <t>Kansai</t>
        </is>
      </c>
      <c r="C76" t="n">
        <v>0.401</v>
      </c>
      <c r="D76" t="n">
        <v>29121.4621</v>
      </c>
      <c r="E76" t="n">
        <v>74951.5843</v>
      </c>
      <c r="F76" t="n">
        <v>1.00442656</v>
      </c>
      <c r="G76" t="n">
        <v>-7557.647</v>
      </c>
      <c r="H76" t="n">
        <v>11216.526397</v>
      </c>
      <c r="I76" t="n">
        <v>-46176.293919</v>
      </c>
      <c r="J76" t="n">
        <v>-50805.602201</v>
      </c>
      <c r="K76" t="n">
        <v>64604.8567</v>
      </c>
      <c r="L76" t="n">
        <v>1061.907528</v>
      </c>
      <c r="M76" t="n">
        <v>451.958054</v>
      </c>
      <c r="N76" t="n">
        <v>980.103476</v>
      </c>
      <c r="O76">
        <f>SUM(G76:I76,K76:N76)</f>
        <v/>
      </c>
      <c r="P76" t="n">
        <v>21798.087332</v>
      </c>
      <c r="Q76">
        <f>(O76-P76)/1000</f>
        <v/>
      </c>
      <c r="R76" t="n">
        <v>2.783</v>
      </c>
      <c r="S76">
        <f>ABS(Q76-R76)</f>
        <v/>
      </c>
    </row>
    <row r="77">
      <c r="A77" t="inlineStr">
        <is>
          <t>U1</t>
        </is>
      </c>
      <c r="B77" t="inlineStr">
        <is>
          <t>Kyushu</t>
        </is>
      </c>
      <c r="C77" t="n">
        <v>0.402</v>
      </c>
      <c r="D77" t="n">
        <v>26567.698</v>
      </c>
      <c r="E77" t="n">
        <v>74541.6467</v>
      </c>
      <c r="F77" t="n">
        <v>0.99893298</v>
      </c>
      <c r="G77" t="n">
        <v>-7576.494</v>
      </c>
      <c r="H77" t="n">
        <v>11182.997508</v>
      </c>
      <c r="I77" t="n">
        <v>-48342.891188</v>
      </c>
      <c r="J77" t="n">
        <v>-52566.23904</v>
      </c>
      <c r="K77" t="n">
        <v>64251.509074</v>
      </c>
      <c r="L77" t="n">
        <v>1056.099567</v>
      </c>
      <c r="M77" t="n">
        <v>449.486129</v>
      </c>
      <c r="N77" t="n">
        <v>980.103476</v>
      </c>
      <c r="O77">
        <f>SUM(G77:I77,K77:N77)</f>
        <v/>
      </c>
      <c r="P77" t="n">
        <v>19225.476239</v>
      </c>
      <c r="Q77">
        <f>(O77-P77)/1000</f>
        <v/>
      </c>
      <c r="R77" t="n">
        <v>2.775</v>
      </c>
      <c r="S77">
        <f>ABS(Q77-R77)</f>
        <v/>
      </c>
    </row>
    <row r="78">
      <c r="A78" t="inlineStr">
        <is>
          <t>U1</t>
        </is>
      </c>
      <c r="B78" t="inlineStr">
        <is>
          <t>Okinawa</t>
        </is>
      </c>
      <c r="C78" t="n">
        <v>0.638</v>
      </c>
      <c r="D78" t="n">
        <v>30306.9994</v>
      </c>
      <c r="E78" t="n">
        <v>76153.8054</v>
      </c>
      <c r="F78" t="n">
        <v>1.02053753</v>
      </c>
      <c r="G78" t="n">
        <v>-12024.386</v>
      </c>
      <c r="H78" t="n">
        <v>18131.990431</v>
      </c>
      <c r="I78" t="n">
        <v>-46191.130068</v>
      </c>
      <c r="J78" t="n">
        <v>-51008.897911</v>
      </c>
      <c r="K78" t="n">
        <v>65641.116563</v>
      </c>
      <c r="L78" t="n">
        <v>1078.940491</v>
      </c>
      <c r="M78" t="n">
        <v>459.207447</v>
      </c>
      <c r="N78" t="n">
        <v>980.103476</v>
      </c>
      <c r="O78">
        <f>SUM(G78:I78,K78:N78)</f>
        <v/>
      </c>
      <c r="P78" t="n">
        <v>18516.885697</v>
      </c>
      <c r="Q78">
        <f>(O78-P78)/1000</f>
        <v/>
      </c>
      <c r="R78" t="n">
        <v>9.558999999999999</v>
      </c>
      <c r="S78">
        <f>ABS(Q78-R78)</f>
        <v/>
      </c>
    </row>
    <row r="79">
      <c r="A79" t="inlineStr">
        <is>
          <t>U1</t>
        </is>
      </c>
      <c r="B79" t="inlineStr">
        <is>
          <t>Shikoku</t>
        </is>
      </c>
      <c r="C79" t="n">
        <v>0.454</v>
      </c>
      <c r="D79" t="n">
        <v>25386.0476</v>
      </c>
      <c r="E79" t="n">
        <v>74230.25169999999</v>
      </c>
      <c r="F79" t="n">
        <v>0.99475997</v>
      </c>
      <c r="G79" t="n">
        <v>-8556.538</v>
      </c>
      <c r="H79" t="n">
        <v>12576.794905</v>
      </c>
      <c r="I79" t="n">
        <v>-49222.633616</v>
      </c>
      <c r="J79" t="n">
        <v>-53258.139808</v>
      </c>
      <c r="K79" t="n">
        <v>63983.100782</v>
      </c>
      <c r="L79" t="n">
        <v>1051.68775</v>
      </c>
      <c r="M79" t="n">
        <v>447.608418</v>
      </c>
      <c r="N79" t="n">
        <v>980.103476</v>
      </c>
      <c r="O79">
        <f>SUM(G79:I79,K79:N79)</f>
        <v/>
      </c>
      <c r="P79" t="n">
        <v>17063.781883</v>
      </c>
      <c r="Q79">
        <f>(O79-P79)/1000</f>
        <v/>
      </c>
      <c r="R79" t="n">
        <v>4.196</v>
      </c>
      <c r="S79">
        <f>ABS(Q79-R79)</f>
        <v/>
      </c>
    </row>
    <row r="80">
      <c r="A80" t="inlineStr">
        <is>
          <t>U1</t>
        </is>
      </c>
      <c r="B80" t="inlineStr">
        <is>
          <t>Tohoku</t>
        </is>
      </c>
      <c r="C80" t="n">
        <v>0.385</v>
      </c>
      <c r="D80" t="n">
        <v>26641.5511</v>
      </c>
      <c r="E80" t="n">
        <v>74683.5482</v>
      </c>
      <c r="F80" t="n">
        <v>1.0008346</v>
      </c>
      <c r="G80" t="n">
        <v>-7256.095</v>
      </c>
      <c r="H80" t="n">
        <v>10730.472973</v>
      </c>
      <c r="I80" t="n">
        <v>-48411.402113</v>
      </c>
      <c r="J80" t="n">
        <v>-52646.490069</v>
      </c>
      <c r="K80" t="n">
        <v>64373.821714</v>
      </c>
      <c r="L80" t="n">
        <v>1058.110015</v>
      </c>
      <c r="M80" t="n">
        <v>450.341796</v>
      </c>
      <c r="N80" t="n">
        <v>980.103476</v>
      </c>
      <c r="O80">
        <f>SUM(G80:I80,K80:N80)</f>
        <v/>
      </c>
      <c r="P80" t="n">
        <v>19619.728387</v>
      </c>
      <c r="Q80">
        <f>(O80-P80)/1000</f>
        <v/>
      </c>
      <c r="R80" t="n">
        <v>2.306</v>
      </c>
      <c r="S80">
        <f>ABS(Q80-R80)</f>
        <v/>
      </c>
    </row>
    <row r="81">
      <c r="A81" t="inlineStr">
        <is>
          <t>U1</t>
        </is>
      </c>
      <c r="B81" t="inlineStr">
        <is>
          <t>Tokyo</t>
        </is>
      </c>
      <c r="C81" t="n">
        <v>0.408</v>
      </c>
      <c r="D81" t="n">
        <v>27457.8228</v>
      </c>
      <c r="E81" t="n">
        <v>74809.6828</v>
      </c>
      <c r="F81" t="n">
        <v>1.00252493</v>
      </c>
      <c r="G81" t="n">
        <v>-7689.576</v>
      </c>
      <c r="H81" t="n">
        <v>11390.719813</v>
      </c>
      <c r="I81" t="n">
        <v>-47713.944597</v>
      </c>
      <c r="J81" t="n">
        <v>-52078.791594</v>
      </c>
      <c r="K81" t="n">
        <v>64482.54406</v>
      </c>
      <c r="L81" t="n">
        <v>1059.89708</v>
      </c>
      <c r="M81" t="n">
        <v>451.102388</v>
      </c>
      <c r="N81" t="n">
        <v>980.103476</v>
      </c>
      <c r="O81">
        <f>SUM(G81:I81,K81:N81)</f>
        <v/>
      </c>
      <c r="P81" t="n">
        <v>20002.519015</v>
      </c>
      <c r="Q81">
        <f>(O81-P81)/1000</f>
        <v/>
      </c>
      <c r="R81" t="n">
        <v>2.958</v>
      </c>
      <c r="S81">
        <f>ABS(Q81-R81)</f>
        <v/>
      </c>
    </row>
    <row r="82">
      <c r="A82" t="inlineStr">
        <is>
          <t>U2a</t>
        </is>
      </c>
      <c r="B82" t="inlineStr">
        <is>
          <t>Chubu</t>
        </is>
      </c>
      <c r="C82" t="n">
        <v>0.393</v>
      </c>
      <c r="D82" t="n">
        <v>25673.6862</v>
      </c>
      <c r="E82" t="n">
        <v>74679.60649999999</v>
      </c>
      <c r="F82" t="n">
        <v>1.00078178</v>
      </c>
      <c r="G82" t="n">
        <v>-7406.871</v>
      </c>
      <c r="H82" t="n">
        <v>13996.1627</v>
      </c>
      <c r="I82" t="n">
        <v>-107817.403877</v>
      </c>
      <c r="J82" t="n">
        <v>-112002.214728</v>
      </c>
      <c r="K82" t="n">
        <v>51563.958432</v>
      </c>
      <c r="L82" t="n">
        <v>1058.054169</v>
      </c>
      <c r="M82" t="n">
        <v>450.318027</v>
      </c>
      <c r="N82" t="n">
        <v>980.103476</v>
      </c>
      <c r="O82">
        <f>SUM(G82:I82,K82:N82)</f>
        <v/>
      </c>
      <c r="P82" t="n">
        <v>18501.087456</v>
      </c>
      <c r="Q82">
        <f>(O82-P82)/1000</f>
        <v/>
      </c>
      <c r="R82" t="n">
        <v>-65.67700000000001</v>
      </c>
      <c r="S82">
        <f>ABS(Q82-R82)</f>
        <v/>
      </c>
    </row>
    <row r="83">
      <c r="A83" t="inlineStr">
        <is>
          <t>U2a</t>
        </is>
      </c>
      <c r="B83" t="inlineStr">
        <is>
          <t>Chugoku</t>
        </is>
      </c>
      <c r="C83" t="n">
        <v>0.5109999999999999</v>
      </c>
      <c r="D83" t="n">
        <v>23551.38</v>
      </c>
      <c r="E83" t="n">
        <v>74041.0497</v>
      </c>
      <c r="F83" t="n">
        <v>0.99222448</v>
      </c>
      <c r="G83" t="n">
        <v>-9630.816999999999</v>
      </c>
      <c r="H83" t="n">
        <v>18042.963838</v>
      </c>
      <c r="I83" t="n">
        <v>-108837.910696</v>
      </c>
      <c r="J83" t="n">
        <v>-112676.785631</v>
      </c>
      <c r="K83" t="n">
        <v>51123.054745</v>
      </c>
      <c r="L83" t="n">
        <v>1049.007152</v>
      </c>
      <c r="M83" t="n">
        <v>446.46753</v>
      </c>
      <c r="N83" t="n">
        <v>980.103476</v>
      </c>
      <c r="O83">
        <f>SUM(G83:I83,K83:N83)</f>
        <v/>
      </c>
      <c r="P83" t="n">
        <v>14154.835224</v>
      </c>
      <c r="Q83">
        <f>(O83-P83)/1000</f>
        <v/>
      </c>
      <c r="R83" t="n">
        <v>-60.982</v>
      </c>
      <c r="S83">
        <f>ABS(Q83-R83)</f>
        <v/>
      </c>
    </row>
    <row r="84">
      <c r="A84" t="inlineStr">
        <is>
          <t>U2a</t>
        </is>
      </c>
      <c r="B84" t="inlineStr">
        <is>
          <t>Hokkaido</t>
        </is>
      </c>
      <c r="C84" t="n">
        <v>0.532</v>
      </c>
      <c r="D84" t="n">
        <v>23563.041</v>
      </c>
      <c r="E84" t="n">
        <v>72980.73020000001</v>
      </c>
      <c r="F84" t="n">
        <v>0.97801513</v>
      </c>
      <c r="G84" t="n">
        <v>-10026.604</v>
      </c>
      <c r="H84" t="n">
        <v>18515.44898</v>
      </c>
      <c r="I84" t="n">
        <v>-106923.074845</v>
      </c>
      <c r="J84" t="n">
        <v>-110763.850526</v>
      </c>
      <c r="K84" t="n">
        <v>50390.936893</v>
      </c>
      <c r="L84" t="n">
        <v>1033.984637</v>
      </c>
      <c r="M84" t="n">
        <v>440.073803</v>
      </c>
      <c r="N84" t="n">
        <v>980.103476</v>
      </c>
      <c r="O84">
        <f>SUM(G84:I84,K84:N84)</f>
        <v/>
      </c>
      <c r="P84" t="n">
        <v>13770.709247</v>
      </c>
      <c r="Q84">
        <f>(O84-P84)/1000</f>
        <v/>
      </c>
      <c r="R84" t="n">
        <v>-59.36</v>
      </c>
      <c r="S84">
        <f>ABS(Q84-R84)</f>
        <v/>
      </c>
    </row>
    <row r="85">
      <c r="A85" t="inlineStr">
        <is>
          <t>U2a</t>
        </is>
      </c>
      <c r="B85" t="inlineStr">
        <is>
          <t>Hokuriku</t>
        </is>
      </c>
      <c r="C85" t="n">
        <v>0.481</v>
      </c>
      <c r="D85" t="n">
        <v>26482.1838</v>
      </c>
      <c r="E85" t="n">
        <v>75140.78630000001</v>
      </c>
      <c r="F85" t="n">
        <v>1.00696205</v>
      </c>
      <c r="G85" t="n">
        <v>-9065.406999999999</v>
      </c>
      <c r="H85" t="n">
        <v>17235.949908</v>
      </c>
      <c r="I85" t="n">
        <v>-107819.735851</v>
      </c>
      <c r="J85" t="n">
        <v>-112136.331812</v>
      </c>
      <c r="K85" t="n">
        <v>51882.388873</v>
      </c>
      <c r="L85" t="n">
        <v>1064.588125</v>
      </c>
      <c r="M85" t="n">
        <v>453.098942</v>
      </c>
      <c r="N85" t="n">
        <v>980.103476</v>
      </c>
      <c r="O85">
        <f>SUM(G85:I85,K85:N85)</f>
        <v/>
      </c>
      <c r="P85" t="n">
        <v>17651.049069</v>
      </c>
      <c r="Q85">
        <f>(O85-P85)/1000</f>
        <v/>
      </c>
      <c r="R85" t="n">
        <v>-62.92</v>
      </c>
      <c r="S85">
        <f>ABS(Q85-R85)</f>
        <v/>
      </c>
    </row>
    <row r="86">
      <c r="A86" t="inlineStr">
        <is>
          <t>U2a</t>
        </is>
      </c>
      <c r="B86" t="inlineStr">
        <is>
          <t>Kansai</t>
        </is>
      </c>
      <c r="C86" t="n">
        <v>0.401</v>
      </c>
      <c r="D86" t="n">
        <v>29121.4621</v>
      </c>
      <c r="E86" t="n">
        <v>74951.5843</v>
      </c>
      <c r="F86" t="n">
        <v>1.00442656</v>
      </c>
      <c r="G86" t="n">
        <v>-7557.647</v>
      </c>
      <c r="H86" t="n">
        <v>14333.082524</v>
      </c>
      <c r="I86" t="n">
        <v>-104785.929052</v>
      </c>
      <c r="J86" t="n">
        <v>-109532.727371</v>
      </c>
      <c r="K86" t="n">
        <v>51751.750744</v>
      </c>
      <c r="L86" t="n">
        <v>1061.907528</v>
      </c>
      <c r="M86" t="n">
        <v>451.958054</v>
      </c>
      <c r="N86" t="n">
        <v>980.103476</v>
      </c>
      <c r="O86">
        <f>SUM(G86:I86,K86:N86)</f>
        <v/>
      </c>
      <c r="P86" t="n">
        <v>21798.087332</v>
      </c>
      <c r="Q86">
        <f>(O86-P86)/1000</f>
        <v/>
      </c>
      <c r="R86" t="n">
        <v>-65.563</v>
      </c>
      <c r="S86">
        <f>ABS(Q86-R86)</f>
        <v/>
      </c>
    </row>
    <row r="87">
      <c r="A87" t="inlineStr">
        <is>
          <t>U2a</t>
        </is>
      </c>
      <c r="B87" t="inlineStr">
        <is>
          <t>Kyushu</t>
        </is>
      </c>
      <c r="C87" t="n">
        <v>0.402</v>
      </c>
      <c r="D87" t="n">
        <v>26567.698</v>
      </c>
      <c r="E87" t="n">
        <v>74541.6467</v>
      </c>
      <c r="F87" t="n">
        <v>0.99893298</v>
      </c>
      <c r="G87" t="n">
        <v>-7576.494</v>
      </c>
      <c r="H87" t="n">
        <v>14290.2375</v>
      </c>
      <c r="I87" t="n">
        <v>-106657.177896</v>
      </c>
      <c r="J87" t="n">
        <v>-110987.712668</v>
      </c>
      <c r="K87" t="n">
        <v>51468.701463</v>
      </c>
      <c r="L87" t="n">
        <v>1056.099567</v>
      </c>
      <c r="M87" t="n">
        <v>449.486129</v>
      </c>
      <c r="N87" t="n">
        <v>980.103476</v>
      </c>
      <c r="O87">
        <f>SUM(G87:I87,K87:N87)</f>
        <v/>
      </c>
      <c r="P87" t="n">
        <v>19225.476239</v>
      </c>
      <c r="Q87">
        <f>(O87-P87)/1000</f>
        <v/>
      </c>
      <c r="R87" t="n">
        <v>-65.215</v>
      </c>
      <c r="S87">
        <f>ABS(Q87-R87)</f>
        <v/>
      </c>
    </row>
    <row r="88">
      <c r="A88" t="inlineStr">
        <is>
          <t>U2a</t>
        </is>
      </c>
      <c r="B88" t="inlineStr">
        <is>
          <t>Okinawa</t>
        </is>
      </c>
      <c r="C88" t="n">
        <v>0.638</v>
      </c>
      <c r="D88" t="n">
        <v>30306.9994</v>
      </c>
      <c r="E88" t="n">
        <v>76153.8054</v>
      </c>
      <c r="F88" t="n">
        <v>1.02053753</v>
      </c>
      <c r="G88" t="n">
        <v>-12024.386</v>
      </c>
      <c r="H88" t="n">
        <v>23170.035533</v>
      </c>
      <c r="I88" t="n">
        <v>-105733.298278</v>
      </c>
      <c r="J88" t="n">
        <v>-110673.339187</v>
      </c>
      <c r="K88" t="n">
        <v>52581.847193</v>
      </c>
      <c r="L88" t="n">
        <v>1078.940491</v>
      </c>
      <c r="M88" t="n">
        <v>459.207447</v>
      </c>
      <c r="N88" t="n">
        <v>980.103476</v>
      </c>
      <c r="O88">
        <f>SUM(G88:I88,K88:N88)</f>
        <v/>
      </c>
      <c r="P88" t="n">
        <v>18516.885697</v>
      </c>
      <c r="Q88">
        <f>(O88-P88)/1000</f>
        <v/>
      </c>
      <c r="R88" t="n">
        <v>-58.004</v>
      </c>
      <c r="S88">
        <f>ABS(Q88-R88)</f>
        <v/>
      </c>
    </row>
    <row r="89">
      <c r="A89" t="inlineStr">
        <is>
          <t>U2a</t>
        </is>
      </c>
      <c r="B89" t="inlineStr">
        <is>
          <t>Shikoku</t>
        </is>
      </c>
      <c r="C89" t="n">
        <v>0.454</v>
      </c>
      <c r="D89" t="n">
        <v>25386.0476</v>
      </c>
      <c r="E89" t="n">
        <v>74230.25169999999</v>
      </c>
      <c r="F89" t="n">
        <v>0.99475997</v>
      </c>
      <c r="G89" t="n">
        <v>-8556.538</v>
      </c>
      <c r="H89" t="n">
        <v>16071.307005</v>
      </c>
      <c r="I89" t="n">
        <v>-107304.586502</v>
      </c>
      <c r="J89" t="n">
        <v>-111442.512265</v>
      </c>
      <c r="K89" t="n">
        <v>51253.692874</v>
      </c>
      <c r="L89" t="n">
        <v>1051.68775</v>
      </c>
      <c r="M89" t="n">
        <v>447.608418</v>
      </c>
      <c r="N89" t="n">
        <v>980.103476</v>
      </c>
      <c r="O89">
        <f>SUM(G89:I89,K89:N89)</f>
        <v/>
      </c>
      <c r="P89" t="n">
        <v>17063.781883</v>
      </c>
      <c r="Q89">
        <f>(O89-P89)/1000</f>
        <v/>
      </c>
      <c r="R89" t="n">
        <v>-63.121</v>
      </c>
      <c r="S89">
        <f>ABS(Q89-R89)</f>
        <v/>
      </c>
    </row>
    <row r="90">
      <c r="A90" t="inlineStr">
        <is>
          <t>U2a</t>
        </is>
      </c>
      <c r="B90" t="inlineStr">
        <is>
          <t>Tohoku</t>
        </is>
      </c>
      <c r="C90" t="n">
        <v>0.385</v>
      </c>
      <c r="D90" t="n">
        <v>26641.5511</v>
      </c>
      <c r="E90" t="n">
        <v>74683.5482</v>
      </c>
      <c r="F90" t="n">
        <v>1.0008346</v>
      </c>
      <c r="G90" t="n">
        <v>-7256.095</v>
      </c>
      <c r="H90" t="n">
        <v>13711.977238</v>
      </c>
      <c r="I90" t="n">
        <v>-106836.45398</v>
      </c>
      <c r="J90" t="n">
        <v>-111179.026814</v>
      </c>
      <c r="K90" t="n">
        <v>51566.68006</v>
      </c>
      <c r="L90" t="n">
        <v>1058.110015</v>
      </c>
      <c r="M90" t="n">
        <v>450.341796</v>
      </c>
      <c r="N90" t="n">
        <v>980.103476</v>
      </c>
      <c r="O90">
        <f>SUM(G90:I90,K90:N90)</f>
        <v/>
      </c>
      <c r="P90" t="n">
        <v>19619.728387</v>
      </c>
      <c r="Q90">
        <f>(O90-P90)/1000</f>
        <v/>
      </c>
      <c r="R90" t="n">
        <v>-65.94499999999999</v>
      </c>
      <c r="S90">
        <f>ABS(Q90-R90)</f>
        <v/>
      </c>
    </row>
    <row r="91">
      <c r="A91" t="inlineStr">
        <is>
          <t>U2a</t>
        </is>
      </c>
      <c r="B91" t="inlineStr">
        <is>
          <t>Tokyo</t>
        </is>
      </c>
      <c r="C91" t="n">
        <v>0.408</v>
      </c>
      <c r="D91" t="n">
        <v>27457.8228</v>
      </c>
      <c r="E91" t="n">
        <v>74809.6828</v>
      </c>
      <c r="F91" t="n">
        <v>1.00252493</v>
      </c>
      <c r="G91" t="n">
        <v>-7689.576</v>
      </c>
      <c r="H91" t="n">
        <v>14555.676268</v>
      </c>
      <c r="I91" t="n">
        <v>-106229.551818</v>
      </c>
      <c r="J91" t="n">
        <v>-110705.176928</v>
      </c>
      <c r="K91" t="n">
        <v>51653.772147</v>
      </c>
      <c r="L91" t="n">
        <v>1059.89708</v>
      </c>
      <c r="M91" t="n">
        <v>451.102388</v>
      </c>
      <c r="N91" t="n">
        <v>980.103476</v>
      </c>
      <c r="O91">
        <f>SUM(G91:I91,K91:N91)</f>
        <v/>
      </c>
      <c r="P91" t="n">
        <v>20002.519015</v>
      </c>
      <c r="Q91">
        <f>(O91-P91)/1000</f>
        <v/>
      </c>
      <c r="R91" t="n">
        <v>-65.221</v>
      </c>
      <c r="S91">
        <f>ABS(Q91-R91)</f>
        <v/>
      </c>
    </row>
    <row r="92">
      <c r="A92" t="inlineStr">
        <is>
          <t>U2b</t>
        </is>
      </c>
      <c r="B92" t="inlineStr">
        <is>
          <t>Chubu</t>
        </is>
      </c>
      <c r="C92" t="n">
        <v>0.393</v>
      </c>
      <c r="D92" t="n">
        <v>25673.6862</v>
      </c>
      <c r="E92" t="n">
        <v>74679.60649999999</v>
      </c>
      <c r="F92" t="n">
        <v>1.00078178</v>
      </c>
      <c r="G92" t="n">
        <v>-7406.871</v>
      </c>
      <c r="H92" t="n">
        <v>13996.1627</v>
      </c>
      <c r="I92" t="n">
        <v>-74186.468309</v>
      </c>
      <c r="J92" t="n">
        <v>-78371.27916000001</v>
      </c>
      <c r="K92" t="n">
        <v>51563.958432</v>
      </c>
      <c r="L92" t="n">
        <v>1058.054169</v>
      </c>
      <c r="M92" t="n">
        <v>450.318027</v>
      </c>
      <c r="N92" t="n">
        <v>980.103476</v>
      </c>
      <c r="O92">
        <f>SUM(G92:I92,K92:N92)</f>
        <v/>
      </c>
      <c r="P92" t="n">
        <v>18501.087456</v>
      </c>
      <c r="Q92">
        <f>(O92-P92)/1000</f>
        <v/>
      </c>
      <c r="R92" t="n">
        <v>-32.046</v>
      </c>
      <c r="S92">
        <f>ABS(Q92-R92)</f>
        <v/>
      </c>
    </row>
    <row r="93">
      <c r="A93" t="inlineStr">
        <is>
          <t>U2b</t>
        </is>
      </c>
      <c r="B93" t="inlineStr">
        <is>
          <t>Chugoku</t>
        </is>
      </c>
      <c r="C93" t="n">
        <v>0.5109999999999999</v>
      </c>
      <c r="D93" t="n">
        <v>23551.38</v>
      </c>
      <c r="E93" t="n">
        <v>74041.0497</v>
      </c>
      <c r="F93" t="n">
        <v>0.99222448</v>
      </c>
      <c r="G93" t="n">
        <v>-9630.816999999999</v>
      </c>
      <c r="H93" t="n">
        <v>18042.963838</v>
      </c>
      <c r="I93" t="n">
        <v>-74188.733192</v>
      </c>
      <c r="J93" t="n">
        <v>-78027.60812600001</v>
      </c>
      <c r="K93" t="n">
        <v>51123.054745</v>
      </c>
      <c r="L93" t="n">
        <v>1049.007152</v>
      </c>
      <c r="M93" t="n">
        <v>446.46753</v>
      </c>
      <c r="N93" t="n">
        <v>980.103476</v>
      </c>
      <c r="O93">
        <f>SUM(G93:I93,K93:N93)</f>
        <v/>
      </c>
      <c r="P93" t="n">
        <v>14154.835224</v>
      </c>
      <c r="Q93">
        <f>(O93-P93)/1000</f>
        <v/>
      </c>
      <c r="R93" t="n">
        <v>-26.333</v>
      </c>
      <c r="S93">
        <f>ABS(Q93-R93)</f>
        <v/>
      </c>
    </row>
    <row r="94">
      <c r="A94" t="inlineStr">
        <is>
          <t>U2b</t>
        </is>
      </c>
      <c r="B94" t="inlineStr">
        <is>
          <t>Hokkaido</t>
        </is>
      </c>
      <c r="C94" t="n">
        <v>0.532</v>
      </c>
      <c r="D94" t="n">
        <v>23563.041</v>
      </c>
      <c r="E94" t="n">
        <v>72980.73020000001</v>
      </c>
      <c r="F94" t="n">
        <v>0.97801513</v>
      </c>
      <c r="G94" t="n">
        <v>-10026.604</v>
      </c>
      <c r="H94" t="n">
        <v>18515.44898</v>
      </c>
      <c r="I94" t="n">
        <v>-73009.55763</v>
      </c>
      <c r="J94" t="n">
        <v>-76850.333312</v>
      </c>
      <c r="K94" t="n">
        <v>50390.936893</v>
      </c>
      <c r="L94" t="n">
        <v>1033.984637</v>
      </c>
      <c r="M94" t="n">
        <v>440.073803</v>
      </c>
      <c r="N94" t="n">
        <v>980.103476</v>
      </c>
      <c r="O94">
        <f>SUM(G94:I94,K94:N94)</f>
        <v/>
      </c>
      <c r="P94" t="n">
        <v>13770.709247</v>
      </c>
      <c r="Q94">
        <f>(O94-P94)/1000</f>
        <v/>
      </c>
      <c r="R94" t="n">
        <v>-25.446</v>
      </c>
      <c r="S94">
        <f>ABS(Q94-R94)</f>
        <v/>
      </c>
    </row>
    <row r="95">
      <c r="A95" t="inlineStr">
        <is>
          <t>U2b</t>
        </is>
      </c>
      <c r="B95" t="inlineStr">
        <is>
          <t>Hokuriku</t>
        </is>
      </c>
      <c r="C95" t="n">
        <v>0.481</v>
      </c>
      <c r="D95" t="n">
        <v>26482.1838</v>
      </c>
      <c r="E95" t="n">
        <v>75140.78630000001</v>
      </c>
      <c r="F95" t="n">
        <v>1.00696205</v>
      </c>
      <c r="G95" t="n">
        <v>-9065.406999999999</v>
      </c>
      <c r="H95" t="n">
        <v>17235.949908</v>
      </c>
      <c r="I95" t="n">
        <v>-74427.151492</v>
      </c>
      <c r="J95" t="n">
        <v>-78743.747454</v>
      </c>
      <c r="K95" t="n">
        <v>51882.388873</v>
      </c>
      <c r="L95" t="n">
        <v>1064.588125</v>
      </c>
      <c r="M95" t="n">
        <v>453.098942</v>
      </c>
      <c r="N95" t="n">
        <v>980.103476</v>
      </c>
      <c r="O95">
        <f>SUM(G95:I95,K95:N95)</f>
        <v/>
      </c>
      <c r="P95" t="n">
        <v>17651.049069</v>
      </c>
      <c r="Q95">
        <f>(O95-P95)/1000</f>
        <v/>
      </c>
      <c r="R95" t="n">
        <v>-29.527</v>
      </c>
      <c r="S95">
        <f>ABS(Q95-R95)</f>
        <v/>
      </c>
    </row>
    <row r="96">
      <c r="A96" t="inlineStr">
        <is>
          <t>U2b</t>
        </is>
      </c>
      <c r="B96" t="inlineStr">
        <is>
          <t>Kansai</t>
        </is>
      </c>
      <c r="C96" t="n">
        <v>0.401</v>
      </c>
      <c r="D96" t="n">
        <v>29121.4621</v>
      </c>
      <c r="E96" t="n">
        <v>74951.5843</v>
      </c>
      <c r="F96" t="n">
        <v>1.00442656</v>
      </c>
      <c r="G96" t="n">
        <v>-7557.647</v>
      </c>
      <c r="H96" t="n">
        <v>14333.082524</v>
      </c>
      <c r="I96" t="n">
        <v>-73334.42522</v>
      </c>
      <c r="J96" t="n">
        <v>-78081.223539</v>
      </c>
      <c r="K96" t="n">
        <v>51751.750744</v>
      </c>
      <c r="L96" t="n">
        <v>1061.907528</v>
      </c>
      <c r="M96" t="n">
        <v>451.958054</v>
      </c>
      <c r="N96" t="n">
        <v>980.103476</v>
      </c>
      <c r="O96">
        <f>SUM(G96:I96,K96:N96)</f>
        <v/>
      </c>
      <c r="P96" t="n">
        <v>21798.087332</v>
      </c>
      <c r="Q96">
        <f>(O96-P96)/1000</f>
        <v/>
      </c>
      <c r="R96" t="n">
        <v>-34.111</v>
      </c>
      <c r="S96">
        <f>ABS(Q96-R96)</f>
        <v/>
      </c>
    </row>
    <row r="97">
      <c r="A97" t="inlineStr">
        <is>
          <t>U2b</t>
        </is>
      </c>
      <c r="B97" t="inlineStr">
        <is>
          <t>Kyushu</t>
        </is>
      </c>
      <c r="C97" t="n">
        <v>0.402</v>
      </c>
      <c r="D97" t="n">
        <v>26567.698</v>
      </c>
      <c r="E97" t="n">
        <v>74541.6467</v>
      </c>
      <c r="F97" t="n">
        <v>0.99893298</v>
      </c>
      <c r="G97" t="n">
        <v>-7576.494</v>
      </c>
      <c r="H97" t="n">
        <v>14290.2375</v>
      </c>
      <c r="I97" t="n">
        <v>-73734.445936</v>
      </c>
      <c r="J97" t="n">
        <v>-78064.980708</v>
      </c>
      <c r="K97" t="n">
        <v>51468.701463</v>
      </c>
      <c r="L97" t="n">
        <v>1056.099567</v>
      </c>
      <c r="M97" t="n">
        <v>449.486129</v>
      </c>
      <c r="N97" t="n">
        <v>980.103476</v>
      </c>
      <c r="O97">
        <f>SUM(G97:I97,K97:N97)</f>
        <v/>
      </c>
      <c r="P97" t="n">
        <v>19225.476239</v>
      </c>
      <c r="Q97">
        <f>(O97-P97)/1000</f>
        <v/>
      </c>
      <c r="R97" t="n">
        <v>-32.292</v>
      </c>
      <c r="S97">
        <f>ABS(Q97-R97)</f>
        <v/>
      </c>
    </row>
    <row r="98">
      <c r="A98" t="inlineStr">
        <is>
          <t>U2b</t>
        </is>
      </c>
      <c r="B98" t="inlineStr">
        <is>
          <t>Okinawa</t>
        </is>
      </c>
      <c r="C98" t="n">
        <v>0.638</v>
      </c>
      <c r="D98" t="n">
        <v>30306.9994</v>
      </c>
      <c r="E98" t="n">
        <v>76153.8054</v>
      </c>
      <c r="F98" t="n">
        <v>1.02053753</v>
      </c>
      <c r="G98" t="n">
        <v>-12024.386</v>
      </c>
      <c r="H98" t="n">
        <v>23170.035533</v>
      </c>
      <c r="I98" t="n">
        <v>-74270.345057</v>
      </c>
      <c r="J98" t="n">
        <v>-79210.385966</v>
      </c>
      <c r="K98" t="n">
        <v>52581.847193</v>
      </c>
      <c r="L98" t="n">
        <v>1078.940491</v>
      </c>
      <c r="M98" t="n">
        <v>459.207447</v>
      </c>
      <c r="N98" t="n">
        <v>980.103476</v>
      </c>
      <c r="O98">
        <f>SUM(G98:I98,K98:N98)</f>
        <v/>
      </c>
      <c r="P98" t="n">
        <v>18516.885697</v>
      </c>
      <c r="Q98">
        <f>(O98-P98)/1000</f>
        <v/>
      </c>
      <c r="R98" t="n">
        <v>-26.541</v>
      </c>
      <c r="S98">
        <f>ABS(Q98-R98)</f>
        <v/>
      </c>
    </row>
    <row r="99">
      <c r="A99" t="inlineStr">
        <is>
          <t>U2b</t>
        </is>
      </c>
      <c r="B99" t="inlineStr">
        <is>
          <t>Shikoku</t>
        </is>
      </c>
      <c r="C99" t="n">
        <v>0.454</v>
      </c>
      <c r="D99" t="n">
        <v>25386.0476</v>
      </c>
      <c r="E99" t="n">
        <v>74230.25169999999</v>
      </c>
      <c r="F99" t="n">
        <v>0.99475997</v>
      </c>
      <c r="G99" t="n">
        <v>-8556.538</v>
      </c>
      <c r="H99" t="n">
        <v>16071.307005</v>
      </c>
      <c r="I99" t="n">
        <v>-73784.630716</v>
      </c>
      <c r="J99" t="n">
        <v>-77922.55648</v>
      </c>
      <c r="K99" t="n">
        <v>51253.692874</v>
      </c>
      <c r="L99" t="n">
        <v>1051.68775</v>
      </c>
      <c r="M99" t="n">
        <v>447.608418</v>
      </c>
      <c r="N99" t="n">
        <v>980.103476</v>
      </c>
      <c r="O99">
        <f>SUM(G99:I99,K99:N99)</f>
        <v/>
      </c>
      <c r="P99" t="n">
        <v>17063.781883</v>
      </c>
      <c r="Q99">
        <f>(O99-P99)/1000</f>
        <v/>
      </c>
      <c r="R99" t="n">
        <v>-29.601</v>
      </c>
      <c r="S99">
        <f>ABS(Q99-R99)</f>
        <v/>
      </c>
    </row>
    <row r="100">
      <c r="A100" t="inlineStr">
        <is>
          <t>U2b</t>
        </is>
      </c>
      <c r="B100" t="inlineStr">
        <is>
          <t>Tohoku</t>
        </is>
      </c>
      <c r="C100" t="n">
        <v>0.385</v>
      </c>
      <c r="D100" t="n">
        <v>26641.5511</v>
      </c>
      <c r="E100" t="n">
        <v>74683.5482</v>
      </c>
      <c r="F100" t="n">
        <v>1.0008346</v>
      </c>
      <c r="G100" t="n">
        <v>-7256.095</v>
      </c>
      <c r="H100" t="n">
        <v>13711.977238</v>
      </c>
      <c r="I100" t="n">
        <v>-73867.022973</v>
      </c>
      <c r="J100" t="n">
        <v>-78209.59580700001</v>
      </c>
      <c r="K100" t="n">
        <v>51566.68006</v>
      </c>
      <c r="L100" t="n">
        <v>1058.110015</v>
      </c>
      <c r="M100" t="n">
        <v>450.341796</v>
      </c>
      <c r="N100" t="n">
        <v>980.103476</v>
      </c>
      <c r="O100">
        <f>SUM(G100:I100,K100:N100)</f>
        <v/>
      </c>
      <c r="P100" t="n">
        <v>19619.728387</v>
      </c>
      <c r="Q100">
        <f>(O100-P100)/1000</f>
        <v/>
      </c>
      <c r="R100" t="n">
        <v>-32.976</v>
      </c>
      <c r="S100">
        <f>ABS(Q100-R100)</f>
        <v/>
      </c>
    </row>
    <row r="101">
      <c r="A101" t="inlineStr">
        <is>
          <t>U2b</t>
        </is>
      </c>
      <c r="B101" t="inlineStr">
        <is>
          <t>Tokyo</t>
        </is>
      </c>
      <c r="C101" t="n">
        <v>0.408</v>
      </c>
      <c r="D101" t="n">
        <v>27457.8228</v>
      </c>
      <c r="E101" t="n">
        <v>74809.6828</v>
      </c>
      <c r="F101" t="n">
        <v>1.00252493</v>
      </c>
      <c r="G101" t="n">
        <v>-7689.576</v>
      </c>
      <c r="H101" t="n">
        <v>14555.676268</v>
      </c>
      <c r="I101" t="n">
        <v>-73733.73607100001</v>
      </c>
      <c r="J101" t="n">
        <v>-78209.361181</v>
      </c>
      <c r="K101" t="n">
        <v>51653.772147</v>
      </c>
      <c r="L101" t="n">
        <v>1059.89708</v>
      </c>
      <c r="M101" t="n">
        <v>451.102388</v>
      </c>
      <c r="N101" t="n">
        <v>980.103476</v>
      </c>
      <c r="O101">
        <f>SUM(G101:I101,K101:N101)</f>
        <v/>
      </c>
      <c r="P101" t="n">
        <v>20002.519015</v>
      </c>
      <c r="Q101">
        <f>(O101-P101)/1000</f>
        <v/>
      </c>
      <c r="R101" t="n">
        <v>-32.725</v>
      </c>
      <c r="S101">
        <f>ABS(Q101-R101)</f>
        <v/>
      </c>
    </row>
    <row r="102">
      <c r="A102" t="inlineStr">
        <is>
          <t>R1</t>
        </is>
      </c>
      <c r="B102" t="inlineStr">
        <is>
          <t>Chubu</t>
        </is>
      </c>
      <c r="C102" t="n">
        <v>0.393</v>
      </c>
      <c r="D102" t="n">
        <v>25673.6862</v>
      </c>
      <c r="E102" t="n">
        <v>74679.60649999999</v>
      </c>
      <c r="F102" t="n">
        <v>1.00078178</v>
      </c>
      <c r="G102" t="n">
        <v>-7406.871</v>
      </c>
      <c r="H102" t="n">
        <v>136.053574</v>
      </c>
      <c r="I102" t="n">
        <v>8530.864084999999</v>
      </c>
      <c r="J102" t="n">
        <v>0</v>
      </c>
      <c r="K102" t="n">
        <v>0</v>
      </c>
      <c r="L102" t="n">
        <v>0</v>
      </c>
      <c r="M102" t="n">
        <v>0</v>
      </c>
      <c r="N102" t="n">
        <v>-8639.0172</v>
      </c>
      <c r="O102">
        <f>SUM(G102:I102,K102:N102)</f>
        <v/>
      </c>
      <c r="P102" t="n">
        <v>18501.087456</v>
      </c>
      <c r="Q102">
        <f>(O102-P102)/1000</f>
        <v/>
      </c>
      <c r="R102" t="n">
        <v>-25.88</v>
      </c>
      <c r="S102">
        <f>ABS(Q102-R102)</f>
        <v/>
      </c>
    </row>
    <row r="103">
      <c r="A103" t="inlineStr">
        <is>
          <t>R1</t>
        </is>
      </c>
      <c r="B103" t="inlineStr">
        <is>
          <t>Chugoku</t>
        </is>
      </c>
      <c r="C103" t="n">
        <v>0.5109999999999999</v>
      </c>
      <c r="D103" t="n">
        <v>23551.38</v>
      </c>
      <c r="E103" t="n">
        <v>74041.0497</v>
      </c>
      <c r="F103" t="n">
        <v>0.99222448</v>
      </c>
      <c r="G103" t="n">
        <v>-9630.816999999999</v>
      </c>
      <c r="H103" t="n">
        <v>162.280537</v>
      </c>
      <c r="I103" t="n">
        <v>7825.663208</v>
      </c>
      <c r="J103" t="n">
        <v>0</v>
      </c>
      <c r="K103" t="n">
        <v>0</v>
      </c>
      <c r="L103" t="n">
        <v>0</v>
      </c>
      <c r="M103" t="n">
        <v>0</v>
      </c>
      <c r="N103" t="n">
        <v>-8639.0172</v>
      </c>
      <c r="O103">
        <f>SUM(G103:I103,K103:N103)</f>
        <v/>
      </c>
      <c r="P103" t="n">
        <v>14154.835224</v>
      </c>
      <c r="Q103">
        <f>(O103-P103)/1000</f>
        <v/>
      </c>
      <c r="R103" t="n">
        <v>-24.437</v>
      </c>
      <c r="S103">
        <f>ABS(Q103-R103)</f>
        <v/>
      </c>
    </row>
    <row r="104">
      <c r="A104" t="inlineStr">
        <is>
          <t>R1</t>
        </is>
      </c>
      <c r="B104" t="inlineStr">
        <is>
          <t>Hokkaido</t>
        </is>
      </c>
      <c r="C104" t="n">
        <v>0.532</v>
      </c>
      <c r="D104" t="n">
        <v>23563.041</v>
      </c>
      <c r="E104" t="n">
        <v>72980.73020000001</v>
      </c>
      <c r="F104" t="n">
        <v>0.97801513</v>
      </c>
      <c r="G104" t="n">
        <v>-10026.604</v>
      </c>
      <c r="H104" t="n">
        <v>169.033252</v>
      </c>
      <c r="I104" t="n">
        <v>7829.537938</v>
      </c>
      <c r="J104" t="n">
        <v>0</v>
      </c>
      <c r="K104" t="n">
        <v>0</v>
      </c>
      <c r="L104" t="n">
        <v>0</v>
      </c>
      <c r="M104" t="n">
        <v>0</v>
      </c>
      <c r="N104" t="n">
        <v>-8639.0172</v>
      </c>
      <c r="O104">
        <f>SUM(G104:I104,K104:N104)</f>
        <v/>
      </c>
      <c r="P104" t="n">
        <v>13770.709247</v>
      </c>
      <c r="Q104">
        <f>(O104-P104)/1000</f>
        <v/>
      </c>
      <c r="R104" t="n">
        <v>-24.438</v>
      </c>
      <c r="S104">
        <f>ABS(Q104-R104)</f>
        <v/>
      </c>
    </row>
    <row r="105">
      <c r="A105" t="inlineStr">
        <is>
          <t>R1</t>
        </is>
      </c>
      <c r="B105" t="inlineStr">
        <is>
          <t>Hokuriku</t>
        </is>
      </c>
      <c r="C105" t="n">
        <v>0.481</v>
      </c>
      <c r="D105" t="n">
        <v>26482.1838</v>
      </c>
      <c r="E105" t="n">
        <v>75140.78630000001</v>
      </c>
      <c r="F105" t="n">
        <v>1.00696205</v>
      </c>
      <c r="G105" t="n">
        <v>-9065.406999999999</v>
      </c>
      <c r="H105" t="n">
        <v>171.76238</v>
      </c>
      <c r="I105" t="n">
        <v>8799.512038000001</v>
      </c>
      <c r="J105" t="n">
        <v>0</v>
      </c>
      <c r="K105" t="n">
        <v>0</v>
      </c>
      <c r="L105" t="n">
        <v>0</v>
      </c>
      <c r="M105" t="n">
        <v>0</v>
      </c>
      <c r="N105" t="n">
        <v>-8639.0172</v>
      </c>
      <c r="O105">
        <f>SUM(G105:I105,K105:N105)</f>
        <v/>
      </c>
      <c r="P105" t="n">
        <v>17651.049069</v>
      </c>
      <c r="Q105">
        <f>(O105-P105)/1000</f>
        <v/>
      </c>
      <c r="R105" t="n">
        <v>-26.384</v>
      </c>
      <c r="S105">
        <f>ABS(Q105-R105)</f>
        <v/>
      </c>
    </row>
    <row r="106">
      <c r="A106" t="inlineStr">
        <is>
          <t>R1</t>
        </is>
      </c>
      <c r="B106" t="inlineStr">
        <is>
          <t>Kansai</t>
        </is>
      </c>
      <c r="C106" t="n">
        <v>0.401</v>
      </c>
      <c r="D106" t="n">
        <v>29121.4621</v>
      </c>
      <c r="E106" t="n">
        <v>74951.5843</v>
      </c>
      <c r="F106" t="n">
        <v>1.00442656</v>
      </c>
      <c r="G106" t="n">
        <v>-7557.647</v>
      </c>
      <c r="H106" t="n">
        <v>157.465974</v>
      </c>
      <c r="I106" t="n">
        <v>9676.492614999999</v>
      </c>
      <c r="J106" t="n">
        <v>0</v>
      </c>
      <c r="K106" t="n">
        <v>0</v>
      </c>
      <c r="L106" t="n">
        <v>0</v>
      </c>
      <c r="M106" t="n">
        <v>0</v>
      </c>
      <c r="N106" t="n">
        <v>-8639.0172</v>
      </c>
      <c r="O106">
        <f>SUM(G106:I106,K106:N106)</f>
        <v/>
      </c>
      <c r="P106" t="n">
        <v>21798.087332</v>
      </c>
      <c r="Q106">
        <f>(O106-P106)/1000</f>
        <v/>
      </c>
      <c r="R106" t="n">
        <v>-28.161</v>
      </c>
      <c r="S106">
        <f>ABS(Q106-R106)</f>
        <v/>
      </c>
    </row>
    <row r="107">
      <c r="A107" t="inlineStr">
        <is>
          <t>R1</t>
        </is>
      </c>
      <c r="B107" t="inlineStr">
        <is>
          <t>Kyushu</t>
        </is>
      </c>
      <c r="C107" t="n">
        <v>0.402</v>
      </c>
      <c r="D107" t="n">
        <v>26567.698</v>
      </c>
      <c r="E107" t="n">
        <v>74541.6467</v>
      </c>
      <c r="F107" t="n">
        <v>0.99893298</v>
      </c>
      <c r="G107" t="n">
        <v>-7576.494</v>
      </c>
      <c r="H107" t="n">
        <v>144.015473</v>
      </c>
      <c r="I107" t="n">
        <v>8827.926724999999</v>
      </c>
      <c r="J107" t="n">
        <v>0</v>
      </c>
      <c r="K107" t="n">
        <v>0</v>
      </c>
      <c r="L107" t="n">
        <v>0</v>
      </c>
      <c r="M107" t="n">
        <v>0</v>
      </c>
      <c r="N107" t="n">
        <v>-8639.0172</v>
      </c>
      <c r="O107">
        <f>SUM(G107:I107,K107:N107)</f>
        <v/>
      </c>
      <c r="P107" t="n">
        <v>19225.476239</v>
      </c>
      <c r="Q107">
        <f>(O107-P107)/1000</f>
        <v/>
      </c>
      <c r="R107" t="n">
        <v>-26.469</v>
      </c>
      <c r="S107">
        <f>ABS(Q107-R107)</f>
        <v/>
      </c>
    </row>
    <row r="108">
      <c r="A108" t="inlineStr">
        <is>
          <t>R1</t>
        </is>
      </c>
      <c r="B108" t="inlineStr">
        <is>
          <t>Okinawa</t>
        </is>
      </c>
      <c r="C108" t="n">
        <v>0.638</v>
      </c>
      <c r="D108" t="n">
        <v>30306.9994</v>
      </c>
      <c r="E108" t="n">
        <v>76153.8054</v>
      </c>
      <c r="F108" t="n">
        <v>1.02053753</v>
      </c>
      <c r="G108" t="n">
        <v>-12024.386</v>
      </c>
      <c r="H108" t="n">
        <v>260.731076</v>
      </c>
      <c r="I108" t="n">
        <v>10070.423508</v>
      </c>
      <c r="J108" t="n">
        <v>0</v>
      </c>
      <c r="K108" t="n">
        <v>0</v>
      </c>
      <c r="L108" t="n">
        <v>0</v>
      </c>
      <c r="M108" t="n">
        <v>0</v>
      </c>
      <c r="N108" t="n">
        <v>-8639.0172</v>
      </c>
      <c r="O108">
        <f>SUM(G108:I108,K108:N108)</f>
        <v/>
      </c>
      <c r="P108" t="n">
        <v>18516.885697</v>
      </c>
      <c r="Q108">
        <f>(O108-P108)/1000</f>
        <v/>
      </c>
      <c r="R108" t="n">
        <v>-28.849</v>
      </c>
      <c r="S108">
        <f>ABS(Q108-R108)</f>
        <v/>
      </c>
    </row>
    <row r="109">
      <c r="A109" t="inlineStr">
        <is>
          <t>R1</t>
        </is>
      </c>
      <c r="B109" t="inlineStr">
        <is>
          <t>Shikoku</t>
        </is>
      </c>
      <c r="C109" t="n">
        <v>0.454</v>
      </c>
      <c r="D109" t="n">
        <v>25386.0476</v>
      </c>
      <c r="E109" t="n">
        <v>74230.25169999999</v>
      </c>
      <c r="F109" t="n">
        <v>0.99475997</v>
      </c>
      <c r="G109" t="n">
        <v>-8556.538</v>
      </c>
      <c r="H109" t="n">
        <v>155.410415</v>
      </c>
      <c r="I109" t="n">
        <v>8435.287409</v>
      </c>
      <c r="J109" t="n">
        <v>0</v>
      </c>
      <c r="K109" t="n">
        <v>0</v>
      </c>
      <c r="L109" t="n">
        <v>0</v>
      </c>
      <c r="M109" t="n">
        <v>0</v>
      </c>
      <c r="N109" t="n">
        <v>-8639.0172</v>
      </c>
      <c r="O109">
        <f>SUM(G109:I109,K109:N109)</f>
        <v/>
      </c>
      <c r="P109" t="n">
        <v>17063.781883</v>
      </c>
      <c r="Q109">
        <f>(O109-P109)/1000</f>
        <v/>
      </c>
      <c r="R109" t="n">
        <v>-25.669</v>
      </c>
      <c r="S109">
        <f>ABS(Q109-R109)</f>
        <v/>
      </c>
    </row>
    <row r="110">
      <c r="A110" t="inlineStr">
        <is>
          <t>R1</t>
        </is>
      </c>
      <c r="B110" t="inlineStr">
        <is>
          <t>Tohoku</t>
        </is>
      </c>
      <c r="C110" t="n">
        <v>0.385</v>
      </c>
      <c r="D110" t="n">
        <v>26641.5511</v>
      </c>
      <c r="E110" t="n">
        <v>74683.5482</v>
      </c>
      <c r="F110" t="n">
        <v>1.0008346</v>
      </c>
      <c r="G110" t="n">
        <v>-7256.095</v>
      </c>
      <c r="H110" t="n">
        <v>138.308672</v>
      </c>
      <c r="I110" t="n">
        <v>8852.466683000001</v>
      </c>
      <c r="J110" t="n">
        <v>0</v>
      </c>
      <c r="K110" t="n">
        <v>0</v>
      </c>
      <c r="L110" t="n">
        <v>0</v>
      </c>
      <c r="M110" t="n">
        <v>0</v>
      </c>
      <c r="N110" t="n">
        <v>-8639.0172</v>
      </c>
      <c r="O110">
        <f>SUM(G110:I110,K110:N110)</f>
        <v/>
      </c>
      <c r="P110" t="n">
        <v>19619.728387</v>
      </c>
      <c r="Q110">
        <f>(O110-P110)/1000</f>
        <v/>
      </c>
      <c r="R110" t="n">
        <v>-26.524</v>
      </c>
      <c r="S110">
        <f>ABS(Q110-R110)</f>
        <v/>
      </c>
    </row>
    <row r="111">
      <c r="A111" t="inlineStr">
        <is>
          <t>R1</t>
        </is>
      </c>
      <c r="B111" t="inlineStr">
        <is>
          <t>Tokyo</t>
        </is>
      </c>
      <c r="C111" t="n">
        <v>0.408</v>
      </c>
      <c r="D111" t="n">
        <v>27457.8228</v>
      </c>
      <c r="E111" t="n">
        <v>74809.6828</v>
      </c>
      <c r="F111" t="n">
        <v>1.00252493</v>
      </c>
      <c r="G111" t="n">
        <v>-7689.576</v>
      </c>
      <c r="H111" t="n">
        <v>151.062072</v>
      </c>
      <c r="I111" t="n">
        <v>9123.697789</v>
      </c>
      <c r="J111" t="n">
        <v>0</v>
      </c>
      <c r="K111" t="n">
        <v>0</v>
      </c>
      <c r="L111" t="n">
        <v>0</v>
      </c>
      <c r="M111" t="n">
        <v>0</v>
      </c>
      <c r="N111" t="n">
        <v>-8639.0172</v>
      </c>
      <c r="O111">
        <f>SUM(G111:I111,K111:N111)</f>
        <v/>
      </c>
      <c r="P111" t="n">
        <v>20002.519015</v>
      </c>
      <c r="Q111">
        <f>(O111-P111)/1000</f>
        <v/>
      </c>
      <c r="R111" t="n">
        <v>-27.056</v>
      </c>
      <c r="S111">
        <f>ABS(Q111-R111)</f>
        <v/>
      </c>
    </row>
    <row r="112">
      <c r="A112" t="inlineStr">
        <is>
          <t>R2</t>
        </is>
      </c>
      <c r="B112" t="inlineStr">
        <is>
          <t>Chubu</t>
        </is>
      </c>
      <c r="C112" t="n">
        <v>0.393</v>
      </c>
      <c r="D112" t="n">
        <v>25673.6862</v>
      </c>
      <c r="E112" t="n">
        <v>74679.60649999999</v>
      </c>
      <c r="F112" t="n">
        <v>1.00078178</v>
      </c>
      <c r="G112" t="n">
        <v>-7406.871</v>
      </c>
      <c r="H112" t="n">
        <v>136.053574</v>
      </c>
      <c r="I112" t="n">
        <v>8530.864084999999</v>
      </c>
      <c r="J112" t="n">
        <v>0</v>
      </c>
      <c r="K112" t="n">
        <v>0</v>
      </c>
      <c r="L112" t="n">
        <v>0</v>
      </c>
      <c r="M112" t="n">
        <v>0</v>
      </c>
      <c r="N112" t="n">
        <v>-8639.0172</v>
      </c>
      <c r="O112">
        <f>SUM(G112:I112,K112:N112)</f>
        <v/>
      </c>
      <c r="P112" t="n">
        <v>18501.087456</v>
      </c>
      <c r="Q112">
        <f>(O112-P112)/1000</f>
        <v/>
      </c>
      <c r="R112" t="n">
        <v>-25.88</v>
      </c>
      <c r="S112">
        <f>ABS(Q112-R112)</f>
        <v/>
      </c>
    </row>
    <row r="113">
      <c r="A113" t="inlineStr">
        <is>
          <t>R2</t>
        </is>
      </c>
      <c r="B113" t="inlineStr">
        <is>
          <t>Chugoku</t>
        </is>
      </c>
      <c r="C113" t="n">
        <v>0.5109999999999999</v>
      </c>
      <c r="D113" t="n">
        <v>23551.38</v>
      </c>
      <c r="E113" t="n">
        <v>74041.0497</v>
      </c>
      <c r="F113" t="n">
        <v>0.99222448</v>
      </c>
      <c r="G113" t="n">
        <v>-9630.816999999999</v>
      </c>
      <c r="H113" t="n">
        <v>162.280537</v>
      </c>
      <c r="I113" t="n">
        <v>7825.663208</v>
      </c>
      <c r="J113" t="n">
        <v>0</v>
      </c>
      <c r="K113" t="n">
        <v>0</v>
      </c>
      <c r="L113" t="n">
        <v>0</v>
      </c>
      <c r="M113" t="n">
        <v>0</v>
      </c>
      <c r="N113" t="n">
        <v>-8639.0172</v>
      </c>
      <c r="O113">
        <f>SUM(G113:I113,K113:N113)</f>
        <v/>
      </c>
      <c r="P113" t="n">
        <v>14154.835224</v>
      </c>
      <c r="Q113">
        <f>(O113-P113)/1000</f>
        <v/>
      </c>
      <c r="R113" t="n">
        <v>-24.437</v>
      </c>
      <c r="S113">
        <f>ABS(Q113-R113)</f>
        <v/>
      </c>
    </row>
    <row r="114">
      <c r="A114" t="inlineStr">
        <is>
          <t>R2</t>
        </is>
      </c>
      <c r="B114" t="inlineStr">
        <is>
          <t>Hokkaido</t>
        </is>
      </c>
      <c r="C114" t="n">
        <v>0.532</v>
      </c>
      <c r="D114" t="n">
        <v>23563.041</v>
      </c>
      <c r="E114" t="n">
        <v>72980.73020000001</v>
      </c>
      <c r="F114" t="n">
        <v>0.97801513</v>
      </c>
      <c r="G114" t="n">
        <v>-10026.604</v>
      </c>
      <c r="H114" t="n">
        <v>169.033252</v>
      </c>
      <c r="I114" t="n">
        <v>7829.537938</v>
      </c>
      <c r="J114" t="n">
        <v>0</v>
      </c>
      <c r="K114" t="n">
        <v>0</v>
      </c>
      <c r="L114" t="n">
        <v>0</v>
      </c>
      <c r="M114" t="n">
        <v>0</v>
      </c>
      <c r="N114" t="n">
        <v>-8639.0172</v>
      </c>
      <c r="O114">
        <f>SUM(G114:I114,K114:N114)</f>
        <v/>
      </c>
      <c r="P114" t="n">
        <v>13770.709247</v>
      </c>
      <c r="Q114">
        <f>(O114-P114)/1000</f>
        <v/>
      </c>
      <c r="R114" t="n">
        <v>-24.438</v>
      </c>
      <c r="S114">
        <f>ABS(Q114-R114)</f>
        <v/>
      </c>
    </row>
    <row r="115">
      <c r="A115" t="inlineStr">
        <is>
          <t>R2</t>
        </is>
      </c>
      <c r="B115" t="inlineStr">
        <is>
          <t>Hokuriku</t>
        </is>
      </c>
      <c r="C115" t="n">
        <v>0.481</v>
      </c>
      <c r="D115" t="n">
        <v>26482.1838</v>
      </c>
      <c r="E115" t="n">
        <v>75140.78630000001</v>
      </c>
      <c r="F115" t="n">
        <v>1.00696205</v>
      </c>
      <c r="G115" t="n">
        <v>-9065.406999999999</v>
      </c>
      <c r="H115" t="n">
        <v>171.76238</v>
      </c>
      <c r="I115" t="n">
        <v>8799.512038000001</v>
      </c>
      <c r="J115" t="n">
        <v>0</v>
      </c>
      <c r="K115" t="n">
        <v>0</v>
      </c>
      <c r="L115" t="n">
        <v>0</v>
      </c>
      <c r="M115" t="n">
        <v>0</v>
      </c>
      <c r="N115" t="n">
        <v>-8639.0172</v>
      </c>
      <c r="O115">
        <f>SUM(G115:I115,K115:N115)</f>
        <v/>
      </c>
      <c r="P115" t="n">
        <v>17651.049069</v>
      </c>
      <c r="Q115">
        <f>(O115-P115)/1000</f>
        <v/>
      </c>
      <c r="R115" t="n">
        <v>-26.384</v>
      </c>
      <c r="S115">
        <f>ABS(Q115-R115)</f>
        <v/>
      </c>
    </row>
    <row r="116">
      <c r="A116" t="inlineStr">
        <is>
          <t>R2</t>
        </is>
      </c>
      <c r="B116" t="inlineStr">
        <is>
          <t>Kansai</t>
        </is>
      </c>
      <c r="C116" t="n">
        <v>0.401</v>
      </c>
      <c r="D116" t="n">
        <v>29121.4621</v>
      </c>
      <c r="E116" t="n">
        <v>74951.5843</v>
      </c>
      <c r="F116" t="n">
        <v>1.00442656</v>
      </c>
      <c r="G116" t="n">
        <v>-7557.647</v>
      </c>
      <c r="H116" t="n">
        <v>157.465974</v>
      </c>
      <c r="I116" t="n">
        <v>9676.492614999999</v>
      </c>
      <c r="J116" t="n">
        <v>0</v>
      </c>
      <c r="K116" t="n">
        <v>0</v>
      </c>
      <c r="L116" t="n">
        <v>0</v>
      </c>
      <c r="M116" t="n">
        <v>0</v>
      </c>
      <c r="N116" t="n">
        <v>-8639.0172</v>
      </c>
      <c r="O116">
        <f>SUM(G116:I116,K116:N116)</f>
        <v/>
      </c>
      <c r="P116" t="n">
        <v>21798.087332</v>
      </c>
      <c r="Q116">
        <f>(O116-P116)/1000</f>
        <v/>
      </c>
      <c r="R116" t="n">
        <v>-28.161</v>
      </c>
      <c r="S116">
        <f>ABS(Q116-R116)</f>
        <v/>
      </c>
    </row>
    <row r="117">
      <c r="A117" t="inlineStr">
        <is>
          <t>R2</t>
        </is>
      </c>
      <c r="B117" t="inlineStr">
        <is>
          <t>Kyushu</t>
        </is>
      </c>
      <c r="C117" t="n">
        <v>0.402</v>
      </c>
      <c r="D117" t="n">
        <v>26567.698</v>
      </c>
      <c r="E117" t="n">
        <v>74541.6467</v>
      </c>
      <c r="F117" t="n">
        <v>0.99893298</v>
      </c>
      <c r="G117" t="n">
        <v>-7576.494</v>
      </c>
      <c r="H117" t="n">
        <v>144.015473</v>
      </c>
      <c r="I117" t="n">
        <v>8827.926724999999</v>
      </c>
      <c r="J117" t="n">
        <v>0</v>
      </c>
      <c r="K117" t="n">
        <v>0</v>
      </c>
      <c r="L117" t="n">
        <v>0</v>
      </c>
      <c r="M117" t="n">
        <v>0</v>
      </c>
      <c r="N117" t="n">
        <v>-8639.0172</v>
      </c>
      <c r="O117">
        <f>SUM(G117:I117,K117:N117)</f>
        <v/>
      </c>
      <c r="P117" t="n">
        <v>19225.476239</v>
      </c>
      <c r="Q117">
        <f>(O117-P117)/1000</f>
        <v/>
      </c>
      <c r="R117" t="n">
        <v>-26.469</v>
      </c>
      <c r="S117">
        <f>ABS(Q117-R117)</f>
        <v/>
      </c>
    </row>
    <row r="118">
      <c r="A118" t="inlineStr">
        <is>
          <t>R2</t>
        </is>
      </c>
      <c r="B118" t="inlineStr">
        <is>
          <t>Okinawa</t>
        </is>
      </c>
      <c r="C118" t="n">
        <v>0.638</v>
      </c>
      <c r="D118" t="n">
        <v>30306.9994</v>
      </c>
      <c r="E118" t="n">
        <v>76153.8054</v>
      </c>
      <c r="F118" t="n">
        <v>1.02053753</v>
      </c>
      <c r="G118" t="n">
        <v>-12024.386</v>
      </c>
      <c r="H118" t="n">
        <v>260.731076</v>
      </c>
      <c r="I118" t="n">
        <v>10070.423508</v>
      </c>
      <c r="J118" t="n">
        <v>0</v>
      </c>
      <c r="K118" t="n">
        <v>0</v>
      </c>
      <c r="L118" t="n">
        <v>0</v>
      </c>
      <c r="M118" t="n">
        <v>0</v>
      </c>
      <c r="N118" t="n">
        <v>-8639.0172</v>
      </c>
      <c r="O118">
        <f>SUM(G118:I118,K118:N118)</f>
        <v/>
      </c>
      <c r="P118" t="n">
        <v>18516.885697</v>
      </c>
      <c r="Q118">
        <f>(O118-P118)/1000</f>
        <v/>
      </c>
      <c r="R118" t="n">
        <v>-28.849</v>
      </c>
      <c r="S118">
        <f>ABS(Q118-R118)</f>
        <v/>
      </c>
    </row>
    <row r="119">
      <c r="A119" t="inlineStr">
        <is>
          <t>R2</t>
        </is>
      </c>
      <c r="B119" t="inlineStr">
        <is>
          <t>Shikoku</t>
        </is>
      </c>
      <c r="C119" t="n">
        <v>0.454</v>
      </c>
      <c r="D119" t="n">
        <v>25386.0476</v>
      </c>
      <c r="E119" t="n">
        <v>74230.25169999999</v>
      </c>
      <c r="F119" t="n">
        <v>0.99475997</v>
      </c>
      <c r="G119" t="n">
        <v>-8556.538</v>
      </c>
      <c r="H119" t="n">
        <v>155.410415</v>
      </c>
      <c r="I119" t="n">
        <v>8435.287409</v>
      </c>
      <c r="J119" t="n">
        <v>0</v>
      </c>
      <c r="K119" t="n">
        <v>0</v>
      </c>
      <c r="L119" t="n">
        <v>0</v>
      </c>
      <c r="M119" t="n">
        <v>0</v>
      </c>
      <c r="N119" t="n">
        <v>-8639.0172</v>
      </c>
      <c r="O119">
        <f>SUM(G119:I119,K119:N119)</f>
        <v/>
      </c>
      <c r="P119" t="n">
        <v>17063.781883</v>
      </c>
      <c r="Q119">
        <f>(O119-P119)/1000</f>
        <v/>
      </c>
      <c r="R119" t="n">
        <v>-25.669</v>
      </c>
      <c r="S119">
        <f>ABS(Q119-R119)</f>
        <v/>
      </c>
    </row>
    <row r="120">
      <c r="A120" t="inlineStr">
        <is>
          <t>R2</t>
        </is>
      </c>
      <c r="B120" t="inlineStr">
        <is>
          <t>Tohoku</t>
        </is>
      </c>
      <c r="C120" t="n">
        <v>0.385</v>
      </c>
      <c r="D120" t="n">
        <v>26641.5511</v>
      </c>
      <c r="E120" t="n">
        <v>74683.5482</v>
      </c>
      <c r="F120" t="n">
        <v>1.0008346</v>
      </c>
      <c r="G120" t="n">
        <v>-7256.095</v>
      </c>
      <c r="H120" t="n">
        <v>138.308672</v>
      </c>
      <c r="I120" t="n">
        <v>8852.466683000001</v>
      </c>
      <c r="J120" t="n">
        <v>0</v>
      </c>
      <c r="K120" t="n">
        <v>0</v>
      </c>
      <c r="L120" t="n">
        <v>0</v>
      </c>
      <c r="M120" t="n">
        <v>0</v>
      </c>
      <c r="N120" t="n">
        <v>-8639.0172</v>
      </c>
      <c r="O120">
        <f>SUM(G120:I120,K120:N120)</f>
        <v/>
      </c>
      <c r="P120" t="n">
        <v>19619.728387</v>
      </c>
      <c r="Q120">
        <f>(O120-P120)/1000</f>
        <v/>
      </c>
      <c r="R120" t="n">
        <v>-26.524</v>
      </c>
      <c r="S120">
        <f>ABS(Q120-R120)</f>
        <v/>
      </c>
    </row>
    <row r="121">
      <c r="A121" t="inlineStr">
        <is>
          <t>R2</t>
        </is>
      </c>
      <c r="B121" t="inlineStr">
        <is>
          <t>Tokyo</t>
        </is>
      </c>
      <c r="C121" t="n">
        <v>0.408</v>
      </c>
      <c r="D121" t="n">
        <v>27457.8228</v>
      </c>
      <c r="E121" t="n">
        <v>74809.6828</v>
      </c>
      <c r="F121" t="n">
        <v>1.00252493</v>
      </c>
      <c r="G121" t="n">
        <v>-7689.576</v>
      </c>
      <c r="H121" t="n">
        <v>151.062072</v>
      </c>
      <c r="I121" t="n">
        <v>9123.697789</v>
      </c>
      <c r="J121" t="n">
        <v>0</v>
      </c>
      <c r="K121" t="n">
        <v>0</v>
      </c>
      <c r="L121" t="n">
        <v>0</v>
      </c>
      <c r="M121" t="n">
        <v>0</v>
      </c>
      <c r="N121" t="n">
        <v>-8639.0172</v>
      </c>
      <c r="O121">
        <f>SUM(G121:I121,K121:N121)</f>
        <v/>
      </c>
      <c r="P121" t="n">
        <v>20002.519015</v>
      </c>
      <c r="Q121">
        <f>(O121-P121)/1000</f>
        <v/>
      </c>
      <c r="R121" t="n">
        <v>-27.056</v>
      </c>
      <c r="S121">
        <f>ABS(Q121-R121)</f>
        <v/>
      </c>
    </row>
    <row r="122">
      <c r="A122" t="inlineStr">
        <is>
          <t>R3</t>
        </is>
      </c>
      <c r="B122" t="inlineStr">
        <is>
          <t>Chubu</t>
        </is>
      </c>
      <c r="C122" t="n">
        <v>0.393</v>
      </c>
      <c r="D122" t="n">
        <v>25673.6862</v>
      </c>
      <c r="E122" t="n">
        <v>74679.60649999999</v>
      </c>
      <c r="F122" t="n">
        <v>1.00078178</v>
      </c>
      <c r="G122" t="n">
        <v>-7406.871</v>
      </c>
      <c r="H122" t="n">
        <v>297.337423</v>
      </c>
      <c r="I122" t="n">
        <v>8558.016422000001</v>
      </c>
      <c r="J122" t="n">
        <v>0</v>
      </c>
      <c r="K122" t="n">
        <v>0</v>
      </c>
      <c r="L122" t="n">
        <v>0</v>
      </c>
      <c r="M122" t="n">
        <v>0</v>
      </c>
      <c r="N122" t="n">
        <v>-8651.264268000001</v>
      </c>
      <c r="O122">
        <f>SUM(G122:I122,K122:N122)</f>
        <v/>
      </c>
      <c r="P122" t="n">
        <v>18501.087456</v>
      </c>
      <c r="Q122">
        <f>(O122-P122)/1000</f>
        <v/>
      </c>
      <c r="R122" t="n">
        <v>-25.704</v>
      </c>
      <c r="S122">
        <f>ABS(Q122-R122)</f>
        <v/>
      </c>
    </row>
    <row r="123">
      <c r="A123" t="inlineStr">
        <is>
          <t>R3</t>
        </is>
      </c>
      <c r="B123" t="inlineStr">
        <is>
          <t>Chugoku</t>
        </is>
      </c>
      <c r="C123" t="n">
        <v>0.5109999999999999</v>
      </c>
      <c r="D123" t="n">
        <v>23551.38</v>
      </c>
      <c r="E123" t="n">
        <v>74041.0497</v>
      </c>
      <c r="F123" t="n">
        <v>0.99222448</v>
      </c>
      <c r="G123" t="n">
        <v>-9630.816999999999</v>
      </c>
      <c r="H123" t="n">
        <v>354.654972</v>
      </c>
      <c r="I123" t="n">
        <v>7850.571007</v>
      </c>
      <c r="J123" t="n">
        <v>0</v>
      </c>
      <c r="K123" t="n">
        <v>0</v>
      </c>
      <c r="L123" t="n">
        <v>0</v>
      </c>
      <c r="M123" t="n">
        <v>0</v>
      </c>
      <c r="N123" t="n">
        <v>-8651.264268000001</v>
      </c>
      <c r="O123">
        <f>SUM(G123:I123,K123:N123)</f>
        <v/>
      </c>
      <c r="P123" t="n">
        <v>14154.835224</v>
      </c>
      <c r="Q123">
        <f>(O123-P123)/1000</f>
        <v/>
      </c>
      <c r="R123" t="n">
        <v>-24.232</v>
      </c>
      <c r="S123">
        <f>ABS(Q123-R123)</f>
        <v/>
      </c>
    </row>
    <row r="124">
      <c r="A124" t="inlineStr">
        <is>
          <t>R3</t>
        </is>
      </c>
      <c r="B124" t="inlineStr">
        <is>
          <t>Hokkaido</t>
        </is>
      </c>
      <c r="C124" t="n">
        <v>0.532</v>
      </c>
      <c r="D124" t="n">
        <v>23563.041</v>
      </c>
      <c r="E124" t="n">
        <v>72980.73020000001</v>
      </c>
      <c r="F124" t="n">
        <v>0.97801513</v>
      </c>
      <c r="G124" t="n">
        <v>-10026.604</v>
      </c>
      <c r="H124" t="n">
        <v>369.412651</v>
      </c>
      <c r="I124" t="n">
        <v>7854.45807</v>
      </c>
      <c r="J124" t="n">
        <v>0</v>
      </c>
      <c r="K124" t="n">
        <v>0</v>
      </c>
      <c r="L124" t="n">
        <v>0</v>
      </c>
      <c r="M124" t="n">
        <v>0</v>
      </c>
      <c r="N124" t="n">
        <v>-8651.264268000001</v>
      </c>
      <c r="O124">
        <f>SUM(G124:I124,K124:N124)</f>
        <v/>
      </c>
      <c r="P124" t="n">
        <v>13770.709247</v>
      </c>
      <c r="Q124">
        <f>(O124-P124)/1000</f>
        <v/>
      </c>
      <c r="R124" t="n">
        <v>-24.225</v>
      </c>
      <c r="S124">
        <f>ABS(Q124-R124)</f>
        <v/>
      </c>
    </row>
    <row r="125">
      <c r="A125" t="inlineStr">
        <is>
          <t>R3</t>
        </is>
      </c>
      <c r="B125" t="inlineStr">
        <is>
          <t>Hokuriku</t>
        </is>
      </c>
      <c r="C125" t="n">
        <v>0.481</v>
      </c>
      <c r="D125" t="n">
        <v>26482.1838</v>
      </c>
      <c r="E125" t="n">
        <v>75140.78630000001</v>
      </c>
      <c r="F125" t="n">
        <v>1.00696205</v>
      </c>
      <c r="G125" t="n">
        <v>-9065.406999999999</v>
      </c>
      <c r="H125" t="n">
        <v>375.377005</v>
      </c>
      <c r="I125" t="n">
        <v>8827.519437999999</v>
      </c>
      <c r="J125" t="n">
        <v>0</v>
      </c>
      <c r="K125" t="n">
        <v>0</v>
      </c>
      <c r="L125" t="n">
        <v>0</v>
      </c>
      <c r="M125" t="n">
        <v>0</v>
      </c>
      <c r="N125" t="n">
        <v>-8651.264268000001</v>
      </c>
      <c r="O125">
        <f>SUM(G125:I125,K125:N125)</f>
        <v/>
      </c>
      <c r="P125" t="n">
        <v>17651.049069</v>
      </c>
      <c r="Q125">
        <f>(O125-P125)/1000</f>
        <v/>
      </c>
      <c r="R125" t="n">
        <v>-26.165</v>
      </c>
      <c r="S125">
        <f>ABS(Q125-R125)</f>
        <v/>
      </c>
    </row>
    <row r="126">
      <c r="A126" t="inlineStr">
        <is>
          <t>R3</t>
        </is>
      </c>
      <c r="B126" t="inlineStr">
        <is>
          <t>Kansai</t>
        </is>
      </c>
      <c r="C126" t="n">
        <v>0.401</v>
      </c>
      <c r="D126" t="n">
        <v>29121.4621</v>
      </c>
      <c r="E126" t="n">
        <v>74951.5843</v>
      </c>
      <c r="F126" t="n">
        <v>1.00442656</v>
      </c>
      <c r="G126" t="n">
        <v>-7557.647</v>
      </c>
      <c r="H126" t="n">
        <v>344.133017</v>
      </c>
      <c r="I126" t="n">
        <v>9707.291300000001</v>
      </c>
      <c r="J126" t="n">
        <v>0</v>
      </c>
      <c r="K126" t="n">
        <v>0</v>
      </c>
      <c r="L126" t="n">
        <v>0</v>
      </c>
      <c r="M126" t="n">
        <v>0</v>
      </c>
      <c r="N126" t="n">
        <v>-8651.264268000001</v>
      </c>
      <c r="O126">
        <f>SUM(G126:I126,K126:N126)</f>
        <v/>
      </c>
      <c r="P126" t="n">
        <v>21798.087332</v>
      </c>
      <c r="Q126">
        <f>(O126-P126)/1000</f>
        <v/>
      </c>
      <c r="R126" t="n">
        <v>-27.956</v>
      </c>
      <c r="S126">
        <f>ABS(Q126-R126)</f>
        <v/>
      </c>
    </row>
    <row r="127">
      <c r="A127" t="inlineStr">
        <is>
          <t>R3</t>
        </is>
      </c>
      <c r="B127" t="inlineStr">
        <is>
          <t>Kyushu</t>
        </is>
      </c>
      <c r="C127" t="n">
        <v>0.402</v>
      </c>
      <c r="D127" t="n">
        <v>26567.698</v>
      </c>
      <c r="E127" t="n">
        <v>74541.6467</v>
      </c>
      <c r="F127" t="n">
        <v>0.99893298</v>
      </c>
      <c r="G127" t="n">
        <v>-7576.494</v>
      </c>
      <c r="H127" t="n">
        <v>314.737704</v>
      </c>
      <c r="I127" t="n">
        <v>8856.024563999999</v>
      </c>
      <c r="J127" t="n">
        <v>0</v>
      </c>
      <c r="K127" t="n">
        <v>0</v>
      </c>
      <c r="L127" t="n">
        <v>0</v>
      </c>
      <c r="M127" t="n">
        <v>0</v>
      </c>
      <c r="N127" t="n">
        <v>-8651.264268000001</v>
      </c>
      <c r="O127">
        <f>SUM(G127:I127,K127:N127)</f>
        <v/>
      </c>
      <c r="P127" t="n">
        <v>19225.476239</v>
      </c>
      <c r="Q127">
        <f>(O127-P127)/1000</f>
        <v/>
      </c>
      <c r="R127" t="n">
        <v>-26.282</v>
      </c>
      <c r="S127">
        <f>ABS(Q127-R127)</f>
        <v/>
      </c>
    </row>
    <row r="128">
      <c r="A128" t="inlineStr">
        <is>
          <t>R3</t>
        </is>
      </c>
      <c r="B128" t="inlineStr">
        <is>
          <t>Okinawa</t>
        </is>
      </c>
      <c r="C128" t="n">
        <v>0.638</v>
      </c>
      <c r="D128" t="n">
        <v>30306.9994</v>
      </c>
      <c r="E128" t="n">
        <v>76153.8054</v>
      </c>
      <c r="F128" t="n">
        <v>1.02053753</v>
      </c>
      <c r="G128" t="n">
        <v>-12024.386</v>
      </c>
      <c r="H128" t="n">
        <v>569.813078</v>
      </c>
      <c r="I128" t="n">
        <v>10102.47601</v>
      </c>
      <c r="J128" t="n">
        <v>0</v>
      </c>
      <c r="K128" t="n">
        <v>0</v>
      </c>
      <c r="L128" t="n">
        <v>0</v>
      </c>
      <c r="M128" t="n">
        <v>0</v>
      </c>
      <c r="N128" t="n">
        <v>-8651.264268000001</v>
      </c>
      <c r="O128">
        <f>SUM(G128:I128,K128:N128)</f>
        <v/>
      </c>
      <c r="P128" t="n">
        <v>18516.885697</v>
      </c>
      <c r="Q128">
        <f>(O128-P128)/1000</f>
        <v/>
      </c>
      <c r="R128" t="n">
        <v>-28.52</v>
      </c>
      <c r="S128">
        <f>ABS(Q128-R128)</f>
        <v/>
      </c>
    </row>
    <row r="129">
      <c r="A129" t="inlineStr">
        <is>
          <t>R3</t>
        </is>
      </c>
      <c r="B129" t="inlineStr">
        <is>
          <t>Shikoku</t>
        </is>
      </c>
      <c r="C129" t="n">
        <v>0.454</v>
      </c>
      <c r="D129" t="n">
        <v>25386.0476</v>
      </c>
      <c r="E129" t="n">
        <v>74230.25169999999</v>
      </c>
      <c r="F129" t="n">
        <v>0.99475997</v>
      </c>
      <c r="G129" t="n">
        <v>-8556.538</v>
      </c>
      <c r="H129" t="n">
        <v>339.640707</v>
      </c>
      <c r="I129" t="n">
        <v>8462.135542</v>
      </c>
      <c r="J129" t="n">
        <v>0</v>
      </c>
      <c r="K129" t="n">
        <v>0</v>
      </c>
      <c r="L129" t="n">
        <v>0</v>
      </c>
      <c r="M129" t="n">
        <v>0</v>
      </c>
      <c r="N129" t="n">
        <v>-8651.264268000001</v>
      </c>
      <c r="O129">
        <f>SUM(G129:I129,K129:N129)</f>
        <v/>
      </c>
      <c r="P129" t="n">
        <v>17063.781883</v>
      </c>
      <c r="Q129">
        <f>(O129-P129)/1000</f>
        <v/>
      </c>
      <c r="R129" t="n">
        <v>-25.47</v>
      </c>
      <c r="S129">
        <f>ABS(Q129-R129)</f>
        <v/>
      </c>
    </row>
    <row r="130">
      <c r="A130" t="inlineStr">
        <is>
          <t>R3</t>
        </is>
      </c>
      <c r="B130" t="inlineStr">
        <is>
          <t>Tohoku</t>
        </is>
      </c>
      <c r="C130" t="n">
        <v>0.385</v>
      </c>
      <c r="D130" t="n">
        <v>26641.5511</v>
      </c>
      <c r="E130" t="n">
        <v>74683.5482</v>
      </c>
      <c r="F130" t="n">
        <v>1.0008346</v>
      </c>
      <c r="G130" t="n">
        <v>-7256.095</v>
      </c>
      <c r="H130" t="n">
        <v>302.265813</v>
      </c>
      <c r="I130" t="n">
        <v>8880.642628</v>
      </c>
      <c r="J130" t="n">
        <v>0</v>
      </c>
      <c r="K130" t="n">
        <v>0</v>
      </c>
      <c r="L130" t="n">
        <v>0</v>
      </c>
      <c r="M130" t="n">
        <v>0</v>
      </c>
      <c r="N130" t="n">
        <v>-8651.264268000001</v>
      </c>
      <c r="O130">
        <f>SUM(G130:I130,K130:N130)</f>
        <v/>
      </c>
      <c r="P130" t="n">
        <v>19619.728387</v>
      </c>
      <c r="Q130">
        <f>(O130-P130)/1000</f>
        <v/>
      </c>
      <c r="R130" t="n">
        <v>-26.344</v>
      </c>
      <c r="S130">
        <f>ABS(Q130-R130)</f>
        <v/>
      </c>
    </row>
    <row r="131">
      <c r="A131" t="inlineStr">
        <is>
          <t>R3</t>
        </is>
      </c>
      <c r="B131" t="inlineStr">
        <is>
          <t>Tokyo</t>
        </is>
      </c>
      <c r="C131" t="n">
        <v>0.408</v>
      </c>
      <c r="D131" t="n">
        <v>27457.8228</v>
      </c>
      <c r="E131" t="n">
        <v>74809.6828</v>
      </c>
      <c r="F131" t="n">
        <v>1.00252493</v>
      </c>
      <c r="G131" t="n">
        <v>-7689.576</v>
      </c>
      <c r="H131" t="n">
        <v>330.137649</v>
      </c>
      <c r="I131" t="n">
        <v>9152.737019</v>
      </c>
      <c r="J131" t="n">
        <v>0</v>
      </c>
      <c r="K131" t="n">
        <v>0</v>
      </c>
      <c r="L131" t="n">
        <v>0</v>
      </c>
      <c r="M131" t="n">
        <v>0</v>
      </c>
      <c r="N131" t="n">
        <v>-8651.264268000001</v>
      </c>
      <c r="O131">
        <f>SUM(G131:I131,K131:N131)</f>
        <v/>
      </c>
      <c r="P131" t="n">
        <v>20002.519015</v>
      </c>
      <c r="Q131">
        <f>(O131-P131)/1000</f>
        <v/>
      </c>
      <c r="R131" t="n">
        <v>-26.86</v>
      </c>
      <c r="S131">
        <f>ABS(Q131-R131)</f>
        <v/>
      </c>
    </row>
    <row r="133">
      <c r="A133" t="inlineStr">
        <is>
          <t>Max discrepancy kt</t>
        </is>
      </c>
      <c r="B133" t="inlineStr"/>
      <c r="C133">
        <f>MAX(S2:S131)</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34" customWidth="1" min="1" max="1"/>
    <col width="104" customWidth="1" min="2" max="2"/>
  </cols>
  <sheetData>
    <row r="1">
      <c r="A1" s="1" t="inlineStr">
        <is>
          <t>Item</t>
        </is>
      </c>
      <c r="B1" s="1" t="inlineStr">
        <is>
          <t>Value</t>
        </is>
      </c>
    </row>
    <row r="2">
      <c r="A2" t="inlineStr">
        <is>
          <t>Deterministic model</t>
        </is>
      </c>
      <c r="B2" t="inlineStr">
        <is>
          <t>carbon_model.py; constants from model_parameters.json, generated by derive_parameters.py from the source workbooks with per-cell assertions; R1: STATIC anchors, E_PROC_MWH (all 13), REAGENT_T / TRANSPORT_T from apply_r1_anchors.py + apply_r1b.py (P2B_corrected_anchors.json, P2B2_anchors.json); R1c conditioning, transport and storage items from apply_r1c.py + r1c_modules.py (03_new_sources/CONDITIONING_ENERGY_CANDIDATES.md); R1d audit corrections and the capital boundary from apply_r1d.py (CAPITAL_CAPTURE_T)</t>
        </is>
      </c>
    </row>
    <row r="3">
      <c r="A3" t="inlineStr">
        <is>
          <t>Revision</t>
        </is>
      </c>
      <c r="B3" t="inlineStr">
        <is>
          <t>R1 chain copy, phase 2C + phase 2b (2026-09-19): itemised bottom-up G/M/U anchors with every electricity line at 0.423 from source MWh (D7), explicit solvent and transport groups (class CAP) with their own multipliers, plant APC chemicals outside the boundary (D6), CCU transport on the t-km basis (D9), CCU capture electricity in b_el (D10a), activated-carbon increment (D13), tonnage-weighted regional table (D12); R1c: unified modular boundary of the nine capture pathways (common 90 kWh/t module, U tanker liquefaction, G Japan-oriented ship scenario with liquefaction, receiving-side unloading 2.5 kWh/t for G1 and pumping to injection pressure 4.5 kWh/t for G2, ship fuel one way + road leg); R1d: plant light oil in G1/G2, capital goods = the capture unit only (745.649 t/y, 20-year divisor) in all nine capture pathways, inside C_p; S0 and R1-R3 carry no capital goods; declared scenarios via R1C_SCENARIO (SCAPU adds U synthesis capital, SL30 a 30-year life)</t>
        </is>
      </c>
    </row>
    <row r="4">
      <c r="A4" t="inlineStr">
        <is>
          <t>Regional table</t>
        </is>
      </c>
      <c r="B4" t="inlineStr">
        <is>
          <t>R1e: region_waste_carbon.csv = 47 prefecture profiles rebuilt from the MoEJ FY2021 incineration-facility table by one rule (simple mean of the 920 facilities reporting a composition), aggregated to ten regions weighted by FY2021 直接焼却量 (base, W2a); region_waste_carbon_W1.csv = facility level, 900 facilities weighted by 年間処理量 (REGION_WEIGHTING=W1); region_waste_carbon_unweighted.csv = submitted unweighted aggregation (REGION_WEIGHTING=unweighted). Raw files, SHA-256 and rules: R1_revision/03_new_sources/MoEJ_FY2021/, R1_revision/02_analyses/R1e_regional/</t>
        </is>
      </c>
    </row>
    <row r="5">
      <c r="A5" t="inlineStr">
        <is>
          <t>Monte Carlo model</t>
        </is>
      </c>
      <c r="B5" t="inlineStr">
        <is>
          <t>monte_carlo.py; master matrix generated by monte_carlo.build_master</t>
        </is>
      </c>
    </row>
    <row r="6">
      <c r="A6" t="inlineStr">
        <is>
          <t>Scenario decomposition</t>
        </is>
      </c>
      <c r="B6" t="inlineStr">
        <is>
          <t>scenario_decomposition.py</t>
        </is>
      </c>
    </row>
    <row r="7">
      <c r="A7" t="inlineStr">
        <is>
          <t>Regional data loader</t>
        </is>
      </c>
      <c r="B7" t="inlineStr">
        <is>
          <t>regional_model.py; regional input data loaded directly from region_waste_carbon.csv</t>
        </is>
      </c>
    </row>
    <row r="8">
      <c r="A8" t="inlineStr">
        <is>
          <t>Machine-readable exports</t>
        </is>
      </c>
      <c r="B8" t="inlineStr">
        <is>
          <t>export_files.py</t>
        </is>
      </c>
    </row>
    <row r="9">
      <c r="A9" t="inlineStr">
        <is>
          <t>This workbook</t>
        </is>
      </c>
      <c r="B9" t="inlineStr">
        <is>
          <t>build_workbook.py</t>
        </is>
      </c>
    </row>
    <row r="10">
      <c r="A10" t="inlineStr">
        <is>
          <t>Python</t>
        </is>
      </c>
      <c r="B10" t="inlineStr">
        <is>
          <t>3.11.9 on Windows-10-10.0.26200-SP0</t>
        </is>
      </c>
    </row>
    <row r="11">
      <c r="A11" t="inlineStr">
        <is>
          <t>numpy</t>
        </is>
      </c>
      <c r="B11" t="inlineStr">
        <is>
          <t>2.4.2</t>
        </is>
      </c>
    </row>
    <row r="12">
      <c r="A12" t="inlineStr">
        <is>
          <t>openpyxl</t>
        </is>
      </c>
      <c r="B12" t="inlineStr">
        <is>
          <t>3.1.5</t>
        </is>
      </c>
    </row>
    <row r="13">
      <c r="A13" t="inlineStr">
        <is>
          <t>Random seed</t>
        </is>
      </c>
      <c r="B13" t="inlineStr">
        <is>
          <t>20260702</t>
        </is>
      </c>
    </row>
    <row r="14">
      <c r="A14" t="inlineStr">
        <is>
          <t>Number of draws</t>
        </is>
      </c>
      <c r="B14" t="inlineStr">
        <is>
          <t>50000</t>
        </is>
      </c>
    </row>
    <row r="15">
      <c r="A15" t="inlineStr">
        <is>
          <t>Draw identifiers</t>
        </is>
      </c>
      <c r="B15" t="inlineStr">
        <is>
          <t>0 to 49999, unique, no gaps</t>
        </is>
      </c>
    </row>
    <row r="16">
      <c r="A16" t="inlineStr">
        <is>
          <t>Grid factors</t>
        </is>
      </c>
      <c r="B16" t="inlineStr">
        <is>
          <t>MoEJ/METI utility-level basic emission factors, ten former general utilities</t>
        </is>
      </c>
    </row>
    <row r="17">
      <c r="A17" t="inlineStr">
        <is>
          <t>Waste composition</t>
        </is>
      </c>
      <c r="B17" t="inlineStr">
        <is>
          <t>MoEJ 一般廃棄物処理実態調査 FY2021 (令和3年度), 焼却施設 table (data/seibi/facility/01.xlsx, dry-basis composition per facility) and 全体集計結果 (data/shori/total/02.xlsx, 直接焼却量 per prefecture); R1e transparent rebuild (build_R1e.py)</t>
        </is>
      </c>
    </row>
    <row r="18">
      <c r="A18" t="inlineStr">
        <is>
          <t>Reproduce</t>
        </is>
      </c>
      <c r="B18" t="inlineStr">
        <is>
          <t>python run_all.py (runs the full chain), or step by step: python carbon_model.py; python monte_carlo.py; python export_files.py; python build_workbook.py</t>
        </is>
      </c>
    </row>
    <row r="19">
      <c r="A19" t="inlineStr">
        <is>
          <t>Float tolerance</t>
        </is>
      </c>
      <c r="B19" t="inlineStr">
        <is>
          <t>1e-9 t-CO2/y for the Eq.2 vs Eq.6 check; 1e-12 relative for rank ties</t>
        </is>
      </c>
    </row>
    <row r="20">
      <c r="A20" t="inlineStr">
        <is>
          <t>Output mapping</t>
        </is>
      </c>
      <c r="B20" t="inlineStr">
        <is>
          <t>1_Inputs and 3_Eq2_national -&gt; Eq. 2 of the main text, recomputed with Excel formulas; 2_Term_classification -&gt; SI Table S6; 6_Regional_130 -&gt; SI Tables S22 and S23 and Fig3_source_data.csv; 5_Shapley -&gt; Table 2 of the main text and SI Table S11; 4_Eq2_vs_Eq6 -&gt; SI Table S12; C_p decomposition -&gt; SI Table S8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2026-09-19T17:52:24Z</dcterms:created>
  <dcterms:modified xmlns:dcterms="http://purl.org/dc/terms/" xmlns:xsi="http://www.w3.org/2001/XMLSchema-instance" xsi:type="dcterms:W3CDTF">2026-09-19T17:52:24Z</dcterms:modified>
</cp:coreProperties>
</file>